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<sst xmlns="http://schemas.openxmlformats.org/spreadsheetml/2006/main" count="571" uniqueCount="146">
  <si>
    <t>ETU003114</t>
  </si>
  <si>
    <t>HARINJATOMALALA Hainiavo Kassaina</t>
  </si>
  <si>
    <t>ETU003384</t>
  </si>
  <si>
    <t>ROBEL Tsilavina Andrianivoson</t>
  </si>
  <si>
    <t>ETU003798</t>
  </si>
  <si>
    <t>RAMORASATA Fifaliana Samiah</t>
  </si>
  <si>
    <t>ETU003168</t>
  </si>
  <si>
    <t>RAMANGASON Andrianina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</si>
  <si>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</si>
  <si>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</si>
  <si>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</si>
  <si>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</si>
  <si>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</si>
  <si>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</si>
  <si>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</si>
  <si>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</si>
  <si>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</si>
  <si>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</si>
  <si>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</si>
  <si>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</si>
  <si>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</si>
  <si>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global</t>
  </si>
  <si>
    <t>Setup Docker Compose</t>
  </si>
  <si>
    <t>Configuration</t>
  </si>
  <si>
    <t>Configuration laravel</t>
  </si>
  <si>
    <t>Migration base de donnees</t>
  </si>
  <si>
    <t>Metier</t>
  </si>
  <si>
    <t>API Register</t>
  </si>
  <si>
    <t>API Login</t>
  </si>
  <si>
    <t>API Logout</t>
  </si>
  <si>
    <t>Service Authentification(Firebase ou Local)</t>
  </si>
  <si>
    <t>Middleware authentification</t>
  </si>
  <si>
    <t>Integration</t>
  </si>
  <si>
    <t>Tentative de connexion(tracking)</t>
  </si>
  <si>
    <t>Blocage apres X tentatives</t>
  </si>
  <si>
    <t>API deblocage utilisateur</t>
  </si>
  <si>
    <t>Configuration duree session</t>
  </si>
  <si>
    <t>API GET profil utilisateur</t>
  </si>
  <si>
    <t>API PUT modification profil utilisateur</t>
  </si>
  <si>
    <t>Validation des donnees</t>
  </si>
  <si>
    <t>Annotations, Endpoints Authentification Swagger</t>
  </si>
  <si>
    <t>Annotations, Endpoints Profil Swagger</t>
  </si>
  <si>
    <t>Test Endpoints (POSTMAN)</t>
  </si>
  <si>
    <t>Debug et correction final</t>
  </si>
  <si>
    <t>Frontoffice</t>
  </si>
  <si>
    <t>Gestion de carte</t>
  </si>
  <si>
    <t>Initialisation VueJs</t>
  </si>
  <si>
    <t>Recherche et choix de serveur Offline sur docker</t>
  </si>
  <si>
    <t>Configuration docker du serveur</t>
  </si>
  <si>
    <t>Configuration Docker Composer</t>
  </si>
  <si>
    <t>Test Serveur</t>
  </si>
  <si>
    <t>Telechargement des donnees pour Tana</t>
  </si>
  <si>
    <t>Import des donnees dans le serveur</t>
  </si>
  <si>
    <t>Configuration zone geographique</t>
  </si>
  <si>
    <t>Verification des donnees</t>
  </si>
  <si>
    <t>Installation + integration leaflet dans VueJS</t>
  </si>
  <si>
    <t>Creation composants</t>
  </si>
  <si>
    <t>Affichage</t>
  </si>
  <si>
    <t>CSS + JS</t>
  </si>
  <si>
    <t>Centrage carte sur Tana</t>
  </si>
  <si>
    <t>Controle action sur la carte</t>
  </si>
  <si>
    <t>Test fonctionnel carte</t>
  </si>
  <si>
    <t>Mode Online Offline carte</t>
  </si>
  <si>
    <t>Module web</t>
  </si>
  <si>
    <t>Login</t>
  </si>
  <si>
    <t>Creation des pages pour chaque profil</t>
  </si>
  <si>
    <t>Gestion login web</t>
  </si>
  <si>
    <t>Create de la page login</t>
  </si>
  <si>
    <t>Appel API Rest Authentification</t>
  </si>
  <si>
    <t>CheckProfil(Visiteur/Utilisateur/Manager)</t>
  </si>
  <si>
    <t>Backoffice et Frontoffice</t>
  </si>
  <si>
    <t>Module Web et Mobile</t>
  </si>
  <si>
    <t>Conception base de donnee</t>
  </si>
  <si>
    <t>Page de signalements</t>
  </si>
  <si>
    <t>GET, Filtres , Statistique signalements</t>
  </si>
  <si>
    <t>API Statistique: Surface, Avancement, Budget, Points</t>
  </si>
  <si>
    <t>Carte Leaflet centree a Antananarivo</t>
  </si>
  <si>
    <t>Creation des marqueurs par signalement, Icones, Pop up</t>
  </si>
  <si>
    <t>Page visiteur</t>
  </si>
  <si>
    <t>Integation pages visiteur</t>
  </si>
  <si>
    <t>Synchronisation Firebase</t>
  </si>
  <si>
    <t>Page Manager</t>
  </si>
  <si>
    <t>Gestion Utilisateur (deblocage utilisateur, compteur tentative de connexion)</t>
  </si>
  <si>
    <t>Page deblocage utilisateur</t>
  </si>
  <si>
    <t>Dashboard gestion utilisateurs</t>
  </si>
  <si>
    <t>Integration du dashboard</t>
  </si>
  <si>
    <t>Gestion Signalements: Status, Historique, Notification</t>
  </si>
  <si>
    <t>Création photoController</t>
  </si>
  <si>
    <t>Debug</t>
  </si>
  <si>
    <t>Integation pages manager</t>
  </si>
  <si>
    <t>Page manager et Utilisateur</t>
  </si>
  <si>
    <t xml:space="preserve">Affichage photo dans popup </t>
  </si>
  <si>
    <t>Assemblage authentification+ affichage carte</t>
  </si>
  <si>
    <t>Module mobile</t>
  </si>
  <si>
    <t>Page Utilisateur</t>
  </si>
  <si>
    <t>Création projet Ionic React</t>
  </si>
  <si>
    <t>Installation dépendances (Leaflet, Firebase)</t>
  </si>
  <si>
    <t>Configuration Firebase SDK</t>
  </si>
  <si>
    <t>Configuration environnements (dev/prod)</t>
  </si>
  <si>
    <t>Configuration Capacitor (Android)</t>
  </si>
  <si>
    <t>Authentification</t>
  </si>
  <si>
    <t>Création projet Firebase (console en ligne)</t>
  </si>
  <si>
    <t>Page Login Firebase</t>
  </si>
  <si>
    <t>Page Register Firebase</t>
  </si>
  <si>
    <t>Gestion session Firebase</t>
  </si>
  <si>
    <t>Métier</t>
  </si>
  <si>
    <t>Persistence token offline</t>
  </si>
  <si>
    <t>Navigation user connecté</t>
  </si>
  <si>
    <t>Intégration</t>
  </si>
  <si>
    <t>Récupération coordonnées GPS</t>
  </si>
  <si>
    <t>Intégration Leaflet</t>
  </si>
  <si>
    <t>Affichage carte OpenStreetMap</t>
  </si>
  <si>
    <t>Récupération position utilisateur (GPS)</t>
  </si>
  <si>
    <t>Formulaire signalement problème routier</t>
  </si>
  <si>
    <t>Envoi signalement vers Firebase</t>
  </si>
  <si>
    <t>Association signalement à l’utilisateur</t>
  </si>
  <si>
    <t>Affichage marqueurs signalements sur la carte</t>
  </si>
  <si>
    <t>Détails signalement</t>
  </si>
  <si>
    <t>Filtrer : afficher mes signalements uniquement</t>
  </si>
  <si>
    <t>Liste récapitulatif des signalements</t>
  </si>
  <si>
    <t>Synchronisation Firebase realtime</t>
  </si>
  <si>
    <t>Détail signalement</t>
  </si>
  <si>
    <t>Composant tableau récap</t>
  </si>
  <si>
    <t>Graphiques mobiles (Chart.js / ApexCharts)</t>
  </si>
  <si>
    <t>Récupération stats depuis Firebase</t>
  </si>
  <si>
    <t>Cache stats offline (Ionic Storage)</t>
  </si>
  <si>
    <t>Installation Ionic Storage</t>
  </si>
  <si>
    <t>Cache signalements locaux</t>
  </si>
  <si>
    <t>Détection online / offline</t>
  </si>
  <si>
    <t>Queue envois offline → online</t>
  </si>
  <si>
    <t>Sync auto au retour online</t>
  </si>
  <si>
    <t>Thème Ionic personnalisé</t>
  </si>
  <si>
    <t>Icônes status signalements</t>
  </si>
  <si>
    <t>Loading states / Skeletons</t>
  </si>
  <si>
    <t>Toasts notifications</t>
  </si>
  <si>
    <t>Gestion erreurs user-friendly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</si>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</sst>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sz val="12.0"/>
      <color theme="1"/>
      <name val="Arial"/>
    </font>
    <font>
      <sz val="12.0"/>
      <color theme="1"/>
      <name val="Arial MT"/>
    </font>
    <font>
      <sz val="12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top"/>
    </xf>
    <xf borderId="1" fillId="0" fontId="6" numFmtId="0" xfId="0" applyAlignment="1" applyBorder="1" applyFont="1">
      <alignment vertical="bottom"/>
    </xf>
    <xf borderId="1" fillId="0" fontId="6" numFmtId="10" xfId="0" applyAlignment="1" applyBorder="1" applyFont="1" applyNumberFormat="1">
      <alignment vertical="bottom"/>
    </xf>
    <xf borderId="1" fillId="0" fontId="5" numFmtId="0" xfId="0" applyAlignment="1" applyBorder="1" applyFont="1">
      <alignment horizontal="right" vertical="top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top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right" readingOrder="0" vertical="top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readingOrder="0" vertical="bottom"/>
    </xf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8" numFmtId="10" xfId="0" applyFont="1" applyNumberFormat="1"/>
    <xf borderId="2" fillId="4" fontId="9" numFmtId="0" xfId="0" applyAlignment="1" applyBorder="1" applyFill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1" fillId="0" fontId="11" numFmtId="164" xfId="0" applyAlignment="1" applyBorder="1" applyFont="1" applyNumberFormat="1">
      <alignment horizontal="right" readingOrder="0" vertical="bottom"/>
    </xf>
    <xf borderId="1" fillId="0" fontId="11" numFmtId="164" xfId="0" applyAlignment="1" applyBorder="1" applyFont="1" applyNumberFormat="1">
      <alignment horizontal="right" vertical="bottom"/>
    </xf>
    <xf borderId="1" fillId="0" fontId="8" numFmtId="165" xfId="0" applyAlignment="1" applyBorder="1" applyFont="1" applyNumberFormat="1">
      <alignment readingOrder="0"/>
    </xf>
    <xf borderId="1" fillId="0" fontId="4" numFmtId="0" xfId="0" applyAlignment="1" applyBorder="1" applyFont="1">
      <alignment horizontal="right" vertical="bottom"/>
    </xf>
    <xf borderId="1" fillId="0" fontId="10" numFmtId="0" xfId="0" applyAlignment="1" applyBorder="1" applyFont="1">
      <alignment vertical="bottom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998" sheet="liste des taches"/>
  </cacheSource>
  <cacheFields>
    <cacheField name="Catégorie" numFmtId="0">
      <sharedItems containsBlank="1">
        <s v="Backoffice"/>
        <s v="Frontoffice"/>
        <s v="Backoffice et Frontoffice"/>
        <s v="Authentification"/>
        <m/>
      </sharedItems>
    </cacheField>
    <cacheField name="Module" numFmtId="0">
      <sharedItems containsBlank="1">
        <s v="Gestion Login"/>
        <s v="Gestion de carte"/>
        <s v="Module web"/>
        <s v="Gestion login web"/>
        <s v="Module Web et Mobile"/>
        <s v="Module mobile"/>
        <m/>
      </sharedItems>
    </cacheField>
    <cacheField name="Page" numFmtId="0">
      <sharedItems containsBlank="1">
        <s v="global"/>
        <s v="Login"/>
        <m/>
        <s v="Page de signalements"/>
        <s v="Page visiteur"/>
        <s v="Page Manager"/>
        <s v="Page manager et Utilisateur"/>
        <s v="Page Utilisateur"/>
      </sharedItems>
    </cacheField>
    <cacheField name="Description tâche" numFmtId="0">
      <sharedItems containsBlank="1">
        <s v="Setup Docker Compose"/>
        <s v="Configuration laravel"/>
        <s v="Migration base de donnees"/>
        <s v="API Register"/>
        <s v="API Login"/>
        <s v="API Logout"/>
        <s v="Service Authentification(Firebase ou Local)"/>
        <s v="Middleware authentification"/>
        <s v="Tentative de connexion(tracking)"/>
        <s v="Blocage apres X tentatives"/>
        <s v="API deblocage utilisateur"/>
        <s v="Configuration duree session"/>
        <s v="API GET profil utilisateur"/>
        <s v="API PUT modification profil utilisateur"/>
        <s v="Validation des donnees"/>
        <s v="Annotations, Endpoints Authentification Swagger"/>
        <s v="Annotations, Endpoints Profil Swagger"/>
        <s v="Test Endpoints (POSTMAN)"/>
        <s v="Debug et correction final"/>
        <s v="Initialisation VueJs"/>
        <s v="Recherche et choix de serveur Offline sur docker"/>
        <s v="Configuration docker du serveur"/>
        <s v="Configuration Docker Composer"/>
        <s v="Test Serveur"/>
        <s v="Telechargement des donnees pour Tana"/>
        <s v="Import des donnees dans le serveur"/>
        <s v="Configuration zone geographique"/>
        <s v="Verification des donnees"/>
        <s v="Installation + integration leaflet dans VueJS"/>
        <s v="Creation composants"/>
        <s v="CSS + JS"/>
        <s v="Centrage carte sur Tana"/>
        <s v="Controle action sur la carte"/>
        <s v="Test fonctionnel carte"/>
        <s v="Mode Online Offline carte"/>
        <m/>
        <s v="Creation des pages pour chaque profil"/>
        <s v="Create de la page login"/>
        <s v="Appel API Rest Authentification"/>
        <s v="CheckProfil(Visiteur/Utilisateur/Manager)"/>
        <s v="Conception base de donnee"/>
        <s v="GET, Filtres , Statistique signalements"/>
        <s v="API Statistique: Surface, Avancement, Budget, Points"/>
        <s v="Carte Leaflet centree a Antananarivo"/>
        <s v="Creation des marqueurs par signalement, Icones, Pop up"/>
        <s v="Integation pages visiteur"/>
        <s v="Synchronisation Firebase"/>
        <s v="Gestion Utilisateur (deblocage utilisateur, compteur tentative de connexion)"/>
        <s v="Page deblocage utilisateur"/>
        <s v="Dashboard gestion utilisateurs"/>
        <s v="Integration du dashboard"/>
        <s v="Gestion Signalements: Status, Historique, Notification"/>
        <s v="Création photoController"/>
        <s v="Debug"/>
        <s v="Integation pages manager"/>
        <s v="Affichage photo dans popup "/>
        <s v="Assemblage authentification+ affichage carte"/>
        <s v="Création projet Ionic React"/>
        <s v="Installation dépendances (Leaflet, Firebase)"/>
        <s v="Configuration Firebase SDK"/>
        <s v="Configuration environnements (dev/prod)"/>
        <s v="Configuration Capacitor (Android)"/>
        <s v="Création projet Firebase (console en ligne)"/>
        <s v="Page Login Firebase"/>
        <s v="Page Register Firebase"/>
        <s v="Gestion session Firebase"/>
        <s v="Persistence token offline"/>
        <s v="Navigation user connecté"/>
        <s v="Récupération coordonnées GPS"/>
        <s v="Intégration Leaflet"/>
        <s v="Affichage carte OpenStreetMap"/>
        <s v="Récupération position utilisateur (GPS)"/>
        <s v="Formulaire signalement problème routier"/>
        <s v="Envoi signalement vers Firebase"/>
        <s v="Association signalement à l’utilisateur"/>
        <s v="Affichage marqueurs signalements sur la carte"/>
        <s v="Détails signalement"/>
        <s v="Filtrer : afficher mes signalements uniquement"/>
        <s v="Liste récapitulatif des signalements"/>
        <s v="Synchronisation Firebase realtime"/>
        <s v="Détail signalement"/>
        <s v="Composant tableau récap"/>
        <s v="Graphiques mobiles (Chart.js / ApexCharts)"/>
        <s v="Récupération stats depuis Firebase"/>
        <s v="Cache stats offline (Ionic Storage)"/>
        <s v="Installation Ionic Storage"/>
        <s v="Cache signalements locaux"/>
        <s v="Détection online / offline"/>
        <s v="Queue envois offline → online"/>
        <s v="Sync auto au retour online"/>
        <s v="Thème Ionic personnalisé"/>
        <s v="Icônes status signalements"/>
        <s v="Loading states / Skeletons"/>
        <s v="Toasts notifications"/>
        <s v="Gestion erreurs user-friendly"/>
      </sharedItems>
    </cacheField>
    <cacheField name="Type" numFmtId="0">
      <sharedItems containsBlank="1">
        <s v="Configuration"/>
        <s v="Metier"/>
        <s v="Integration"/>
        <s v="Affichage"/>
        <s v="Métier"/>
        <s v="Intégration"/>
        <m/>
      </sharedItems>
    </cacheField>
    <cacheField name="Qui" numFmtId="0">
      <sharedItems containsBlank="1">
        <s v="ETU003384"/>
        <s v="ETU003168"/>
        <s v="ETU003114"/>
        <s v="ETU003798"/>
        <m/>
      </sharedItems>
    </cacheField>
    <cacheField name="Estimation" numFmtId="0">
      <sharedItems containsString="0" containsBlank="1" containsNumber="1" containsInteger="1">
        <n v="15.0"/>
        <n v="20.0"/>
        <n v="25.0"/>
        <n v="10.0"/>
        <n v="30.0"/>
        <n v="40.0"/>
        <m/>
      </sharedItems>
    </cacheField>
    <cacheField name="Temps passé" numFmtId="0">
      <sharedItems containsString="0" containsBlank="1" containsNumber="1" containsInteger="1">
        <n v="15.0"/>
        <n v="20.0"/>
        <n v="25.0"/>
        <n v="10.0"/>
        <n v="2.0"/>
        <n v="0.0"/>
        <n v="30.0"/>
        <m/>
        <n v="40.0"/>
      </sharedItems>
    </cacheField>
    <cacheField name="Reste à faire" numFmtId="0">
      <sharedItems containsString="0" containsBlank="1" containsNumber="1" containsInteger="1">
        <n v="0.0"/>
        <n v="8.0"/>
        <n v="-10.0"/>
        <n v="5.0"/>
        <n v="-5.0"/>
        <n v="15.0"/>
        <n v="-15.0"/>
        <n v="20.0"/>
        <n v="25.0"/>
        <n v="30.0"/>
        <n v="10.0"/>
        <m/>
      </sharedItems>
    </cacheField>
    <cacheField name="Avancement" numFmtId="10">
      <sharedItems containsString="0" containsBlank="1" containsNumber="1">
        <n v="1.0"/>
        <n v="0.2"/>
        <n v="2.0"/>
        <n v="0.8"/>
        <n v="1.3333333333333333"/>
        <n v="0.0"/>
        <n v="1.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égor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tion tâc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i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0.88"/>
    <col customWidth="1" min="3" max="3" width="20.88"/>
    <col customWidth="1" min="4" max="4" width="25.75"/>
    <col customWidth="1" min="5" max="5" width="67.5"/>
  </cols>
  <sheetData>
    <row r="1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</row>
    <row r="2">
      <c r="A2" s="6">
        <v>1.0</v>
      </c>
      <c r="B2" s="7" t="s">
        <v>19</v>
      </c>
      <c r="C2" s="8" t="s">
        <v>20</v>
      </c>
      <c r="D2" s="9" t="s">
        <v>21</v>
      </c>
      <c r="E2" s="7" t="s">
        <v>22</v>
      </c>
      <c r="F2" s="8" t="s">
        <v>23</v>
      </c>
      <c r="G2" s="7" t="s">
        <v>2</v>
      </c>
      <c r="H2" s="10">
        <v>15.0</v>
      </c>
      <c r="I2" s="11">
        <v>15.0</v>
      </c>
      <c r="J2" s="11">
        <f t="shared" ref="J2:J96" si="1">H2-I2</f>
        <v>0</v>
      </c>
      <c r="K2" s="12">
        <f t="shared" ref="K2:K96" si="2">I2/(I2+J2)</f>
        <v>1</v>
      </c>
    </row>
    <row r="3">
      <c r="A3" s="6">
        <v>2.0</v>
      </c>
      <c r="B3" s="7" t="s">
        <v>19</v>
      </c>
      <c r="C3" s="8" t="s">
        <v>20</v>
      </c>
      <c r="D3" s="9" t="s">
        <v>21</v>
      </c>
      <c r="E3" s="7" t="s">
        <v>24</v>
      </c>
      <c r="F3" s="8" t="s">
        <v>23</v>
      </c>
      <c r="G3" s="7" t="s">
        <v>2</v>
      </c>
      <c r="H3" s="13">
        <v>15.0</v>
      </c>
      <c r="I3" s="11">
        <v>15.0</v>
      </c>
      <c r="J3" s="11">
        <f t="shared" si="1"/>
        <v>0</v>
      </c>
      <c r="K3" s="12">
        <f t="shared" si="2"/>
        <v>1</v>
      </c>
    </row>
    <row r="4">
      <c r="A4" s="6">
        <v>3.0</v>
      </c>
      <c r="B4" s="7" t="s">
        <v>19</v>
      </c>
      <c r="C4" s="8" t="s">
        <v>20</v>
      </c>
      <c r="D4" s="9" t="s">
        <v>21</v>
      </c>
      <c r="E4" s="7" t="s">
        <v>25</v>
      </c>
      <c r="F4" s="8" t="s">
        <v>26</v>
      </c>
      <c r="G4" s="7" t="s">
        <v>2</v>
      </c>
      <c r="H4" s="13">
        <v>20.0</v>
      </c>
      <c r="I4" s="11">
        <v>20.0</v>
      </c>
      <c r="J4" s="11">
        <f t="shared" si="1"/>
        <v>0</v>
      </c>
      <c r="K4" s="12">
        <f t="shared" si="2"/>
        <v>1</v>
      </c>
    </row>
    <row r="5">
      <c r="A5" s="6">
        <v>4.0</v>
      </c>
      <c r="B5" s="7" t="s">
        <v>19</v>
      </c>
      <c r="C5" s="8" t="s">
        <v>20</v>
      </c>
      <c r="D5" s="9" t="s">
        <v>21</v>
      </c>
      <c r="E5" s="7" t="s">
        <v>27</v>
      </c>
      <c r="F5" s="8" t="s">
        <v>26</v>
      </c>
      <c r="G5" s="7" t="s">
        <v>6</v>
      </c>
      <c r="H5" s="13">
        <v>20.0</v>
      </c>
      <c r="I5" s="11">
        <v>20.0</v>
      </c>
      <c r="J5" s="11">
        <f t="shared" si="1"/>
        <v>0</v>
      </c>
      <c r="K5" s="12">
        <f t="shared" si="2"/>
        <v>1</v>
      </c>
    </row>
    <row r="6">
      <c r="A6" s="6">
        <v>5.0</v>
      </c>
      <c r="B6" s="7" t="s">
        <v>19</v>
      </c>
      <c r="C6" s="8" t="s">
        <v>20</v>
      </c>
      <c r="D6" s="9" t="s">
        <v>21</v>
      </c>
      <c r="E6" s="7" t="s">
        <v>28</v>
      </c>
      <c r="F6" s="8" t="s">
        <v>26</v>
      </c>
      <c r="G6" s="7" t="s">
        <v>6</v>
      </c>
      <c r="H6" s="13">
        <v>20.0</v>
      </c>
      <c r="I6" s="11">
        <v>20.0</v>
      </c>
      <c r="J6" s="11">
        <f t="shared" si="1"/>
        <v>0</v>
      </c>
      <c r="K6" s="12">
        <f t="shared" si="2"/>
        <v>1</v>
      </c>
    </row>
    <row r="7">
      <c r="A7" s="6">
        <v>6.0</v>
      </c>
      <c r="B7" s="7" t="s">
        <v>19</v>
      </c>
      <c r="C7" s="8" t="s">
        <v>20</v>
      </c>
      <c r="D7" s="9" t="s">
        <v>21</v>
      </c>
      <c r="E7" s="8" t="s">
        <v>29</v>
      </c>
      <c r="F7" s="8" t="s">
        <v>26</v>
      </c>
      <c r="G7" s="7" t="s">
        <v>6</v>
      </c>
      <c r="H7" s="13">
        <v>20.0</v>
      </c>
      <c r="I7" s="11">
        <v>20.0</v>
      </c>
      <c r="J7" s="11">
        <f t="shared" si="1"/>
        <v>0</v>
      </c>
      <c r="K7" s="12">
        <f t="shared" si="2"/>
        <v>1</v>
      </c>
    </row>
    <row r="8">
      <c r="A8" s="6">
        <v>7.0</v>
      </c>
      <c r="B8" s="7" t="s">
        <v>19</v>
      </c>
      <c r="C8" s="8" t="s">
        <v>20</v>
      </c>
      <c r="D8" s="9" t="s">
        <v>21</v>
      </c>
      <c r="E8" s="8" t="s">
        <v>30</v>
      </c>
      <c r="F8" s="8" t="s">
        <v>26</v>
      </c>
      <c r="G8" s="7" t="s">
        <v>6</v>
      </c>
      <c r="H8" s="13">
        <v>25.0</v>
      </c>
      <c r="I8" s="11">
        <v>25.0</v>
      </c>
      <c r="J8" s="14">
        <f t="shared" si="1"/>
        <v>0</v>
      </c>
      <c r="K8" s="12">
        <f t="shared" si="2"/>
        <v>1</v>
      </c>
    </row>
    <row r="9">
      <c r="A9" s="6">
        <v>8.0</v>
      </c>
      <c r="B9" s="7" t="s">
        <v>19</v>
      </c>
      <c r="C9" s="8" t="s">
        <v>20</v>
      </c>
      <c r="D9" s="9" t="s">
        <v>21</v>
      </c>
      <c r="E9" s="8" t="s">
        <v>31</v>
      </c>
      <c r="F9" s="8" t="s">
        <v>32</v>
      </c>
      <c r="G9" s="7" t="s">
        <v>6</v>
      </c>
      <c r="H9" s="13">
        <v>10.0</v>
      </c>
      <c r="I9" s="11">
        <v>10.0</v>
      </c>
      <c r="J9" s="14">
        <f t="shared" si="1"/>
        <v>0</v>
      </c>
      <c r="K9" s="12">
        <f t="shared" si="2"/>
        <v>1</v>
      </c>
    </row>
    <row r="10">
      <c r="A10" s="6">
        <v>9.0</v>
      </c>
      <c r="B10" s="7" t="s">
        <v>19</v>
      </c>
      <c r="C10" s="8" t="s">
        <v>20</v>
      </c>
      <c r="D10" s="9" t="s">
        <v>21</v>
      </c>
      <c r="E10" s="8" t="s">
        <v>33</v>
      </c>
      <c r="F10" s="7" t="s">
        <v>26</v>
      </c>
      <c r="G10" s="7" t="s">
        <v>0</v>
      </c>
      <c r="H10" s="13">
        <v>20.0</v>
      </c>
      <c r="I10" s="11">
        <v>20.0</v>
      </c>
      <c r="J10" s="11">
        <f t="shared" si="1"/>
        <v>0</v>
      </c>
      <c r="K10" s="12">
        <f t="shared" si="2"/>
        <v>1</v>
      </c>
    </row>
    <row r="11">
      <c r="A11" s="6">
        <v>10.0</v>
      </c>
      <c r="B11" s="8" t="s">
        <v>19</v>
      </c>
      <c r="C11" s="8" t="s">
        <v>20</v>
      </c>
      <c r="D11" s="15" t="s">
        <v>21</v>
      </c>
      <c r="E11" s="8" t="s">
        <v>34</v>
      </c>
      <c r="F11" s="8" t="s">
        <v>26</v>
      </c>
      <c r="G11" s="8" t="s">
        <v>0</v>
      </c>
      <c r="H11" s="16">
        <v>15.0</v>
      </c>
      <c r="I11" s="11">
        <v>15.0</v>
      </c>
      <c r="J11" s="11">
        <f t="shared" si="1"/>
        <v>0</v>
      </c>
      <c r="K11" s="12">
        <f t="shared" si="2"/>
        <v>1</v>
      </c>
    </row>
    <row r="12">
      <c r="A12" s="6">
        <v>11.0</v>
      </c>
      <c r="B12" s="8" t="s">
        <v>19</v>
      </c>
      <c r="C12" s="8" t="s">
        <v>20</v>
      </c>
      <c r="D12" s="15" t="s">
        <v>21</v>
      </c>
      <c r="E12" s="8" t="s">
        <v>35</v>
      </c>
      <c r="F12" s="8" t="s">
        <v>26</v>
      </c>
      <c r="G12" s="8" t="s">
        <v>0</v>
      </c>
      <c r="H12" s="16">
        <v>20.0</v>
      </c>
      <c r="I12" s="11">
        <v>20.0</v>
      </c>
      <c r="J12" s="11">
        <f t="shared" si="1"/>
        <v>0</v>
      </c>
      <c r="K12" s="12">
        <f t="shared" si="2"/>
        <v>1</v>
      </c>
    </row>
    <row r="13">
      <c r="A13" s="6">
        <v>12.0</v>
      </c>
      <c r="B13" s="8" t="s">
        <v>19</v>
      </c>
      <c r="C13" s="8" t="s">
        <v>20</v>
      </c>
      <c r="D13" s="15" t="s">
        <v>21</v>
      </c>
      <c r="E13" s="8" t="s">
        <v>36</v>
      </c>
      <c r="F13" s="8" t="s">
        <v>26</v>
      </c>
      <c r="G13" s="8" t="s">
        <v>0</v>
      </c>
      <c r="H13" s="16">
        <v>20.0</v>
      </c>
      <c r="I13" s="11">
        <v>20.0</v>
      </c>
      <c r="J13" s="11">
        <f t="shared" si="1"/>
        <v>0</v>
      </c>
      <c r="K13" s="12">
        <f t="shared" si="2"/>
        <v>1</v>
      </c>
    </row>
    <row r="14">
      <c r="A14" s="6">
        <v>13.0</v>
      </c>
      <c r="B14" s="8" t="s">
        <v>19</v>
      </c>
      <c r="C14" s="8" t="s">
        <v>20</v>
      </c>
      <c r="D14" s="15" t="s">
        <v>21</v>
      </c>
      <c r="E14" s="8" t="s">
        <v>37</v>
      </c>
      <c r="F14" s="8" t="s">
        <v>26</v>
      </c>
      <c r="G14" s="8" t="s">
        <v>4</v>
      </c>
      <c r="H14" s="16">
        <v>15.0</v>
      </c>
      <c r="I14" s="11">
        <v>15.0</v>
      </c>
      <c r="J14" s="11">
        <f t="shared" si="1"/>
        <v>0</v>
      </c>
      <c r="K14" s="12">
        <f t="shared" si="2"/>
        <v>1</v>
      </c>
    </row>
    <row r="15">
      <c r="A15" s="6">
        <v>14.0</v>
      </c>
      <c r="B15" s="8" t="s">
        <v>19</v>
      </c>
      <c r="C15" s="8" t="s">
        <v>20</v>
      </c>
      <c r="D15" s="15" t="s">
        <v>21</v>
      </c>
      <c r="E15" s="8" t="s">
        <v>38</v>
      </c>
      <c r="F15" s="8" t="s">
        <v>26</v>
      </c>
      <c r="G15" s="8" t="s">
        <v>4</v>
      </c>
      <c r="H15" s="16">
        <v>15.0</v>
      </c>
      <c r="I15" s="11">
        <v>15.0</v>
      </c>
      <c r="J15" s="11">
        <f t="shared" si="1"/>
        <v>0</v>
      </c>
      <c r="K15" s="12">
        <f t="shared" si="2"/>
        <v>1</v>
      </c>
    </row>
    <row r="16">
      <c r="A16" s="6">
        <v>15.0</v>
      </c>
      <c r="B16" s="8" t="s">
        <v>19</v>
      </c>
      <c r="C16" s="8" t="s">
        <v>20</v>
      </c>
      <c r="D16" s="15" t="s">
        <v>21</v>
      </c>
      <c r="E16" s="8" t="s">
        <v>39</v>
      </c>
      <c r="F16" s="8" t="s">
        <v>26</v>
      </c>
      <c r="G16" s="8" t="s">
        <v>4</v>
      </c>
      <c r="H16" s="16">
        <v>15.0</v>
      </c>
      <c r="I16" s="11">
        <v>15.0</v>
      </c>
      <c r="J16" s="11">
        <f t="shared" si="1"/>
        <v>0</v>
      </c>
      <c r="K16" s="12">
        <f t="shared" si="2"/>
        <v>1</v>
      </c>
    </row>
    <row r="17">
      <c r="A17" s="6">
        <v>16.0</v>
      </c>
      <c r="B17" s="8" t="s">
        <v>19</v>
      </c>
      <c r="C17" s="8" t="s">
        <v>20</v>
      </c>
      <c r="D17" s="15" t="s">
        <v>21</v>
      </c>
      <c r="E17" s="8" t="s">
        <v>40</v>
      </c>
      <c r="F17" s="8" t="s">
        <v>32</v>
      </c>
      <c r="G17" s="8" t="s">
        <v>4</v>
      </c>
      <c r="H17" s="16">
        <v>15.0</v>
      </c>
      <c r="I17" s="11">
        <v>15.0</v>
      </c>
      <c r="J17" s="11">
        <f t="shared" si="1"/>
        <v>0</v>
      </c>
      <c r="K17" s="12">
        <f t="shared" si="2"/>
        <v>1</v>
      </c>
    </row>
    <row r="18">
      <c r="A18" s="6">
        <v>17.0</v>
      </c>
      <c r="B18" s="8" t="s">
        <v>19</v>
      </c>
      <c r="C18" s="8" t="s">
        <v>20</v>
      </c>
      <c r="D18" s="15" t="s">
        <v>21</v>
      </c>
      <c r="E18" s="8" t="s">
        <v>41</v>
      </c>
      <c r="F18" s="8" t="s">
        <v>32</v>
      </c>
      <c r="G18" s="8" t="s">
        <v>4</v>
      </c>
      <c r="H18" s="16">
        <v>15.0</v>
      </c>
      <c r="I18" s="11">
        <v>15.0</v>
      </c>
      <c r="J18" s="11">
        <f t="shared" si="1"/>
        <v>0</v>
      </c>
      <c r="K18" s="12">
        <f t="shared" si="2"/>
        <v>1</v>
      </c>
    </row>
    <row r="19">
      <c r="A19" s="6">
        <v>18.0</v>
      </c>
      <c r="B19" s="8" t="s">
        <v>19</v>
      </c>
      <c r="C19" s="8" t="s">
        <v>20</v>
      </c>
      <c r="D19" s="15" t="s">
        <v>21</v>
      </c>
      <c r="E19" s="8" t="s">
        <v>42</v>
      </c>
      <c r="F19" s="8" t="s">
        <v>32</v>
      </c>
      <c r="G19" s="8" t="s">
        <v>4</v>
      </c>
      <c r="H19" s="16">
        <v>15.0</v>
      </c>
      <c r="I19" s="11">
        <v>15.0</v>
      </c>
      <c r="J19" s="11">
        <f t="shared" si="1"/>
        <v>0</v>
      </c>
      <c r="K19" s="12">
        <f t="shared" si="2"/>
        <v>1</v>
      </c>
    </row>
    <row r="20">
      <c r="A20" s="6">
        <v>19.0</v>
      </c>
      <c r="B20" s="8" t="s">
        <v>19</v>
      </c>
      <c r="C20" s="8" t="s">
        <v>20</v>
      </c>
      <c r="D20" s="15" t="s">
        <v>21</v>
      </c>
      <c r="E20" s="8" t="s">
        <v>43</v>
      </c>
      <c r="F20" s="8" t="s">
        <v>32</v>
      </c>
      <c r="G20" s="8" t="s">
        <v>2</v>
      </c>
      <c r="H20" s="16">
        <v>25.0</v>
      </c>
      <c r="I20" s="11">
        <v>25.0</v>
      </c>
      <c r="J20" s="11">
        <f t="shared" si="1"/>
        <v>0</v>
      </c>
      <c r="K20" s="12">
        <f t="shared" si="2"/>
        <v>1</v>
      </c>
    </row>
    <row r="21">
      <c r="A21" s="6">
        <v>20.0</v>
      </c>
      <c r="B21" s="8" t="s">
        <v>44</v>
      </c>
      <c r="C21" s="8" t="s">
        <v>45</v>
      </c>
      <c r="D21" s="15" t="s">
        <v>21</v>
      </c>
      <c r="E21" s="8" t="s">
        <v>46</v>
      </c>
      <c r="F21" s="8" t="s">
        <v>23</v>
      </c>
      <c r="G21" s="8" t="s">
        <v>2</v>
      </c>
      <c r="H21" s="16">
        <v>10.0</v>
      </c>
      <c r="I21" s="11">
        <f t="shared" ref="I21:I23" si="3">H21</f>
        <v>10</v>
      </c>
      <c r="J21" s="11">
        <f t="shared" si="1"/>
        <v>0</v>
      </c>
      <c r="K21" s="12">
        <f t="shared" si="2"/>
        <v>1</v>
      </c>
    </row>
    <row r="22">
      <c r="A22" s="6">
        <v>21.0</v>
      </c>
      <c r="B22" s="8" t="s">
        <v>44</v>
      </c>
      <c r="C22" s="8" t="s">
        <v>45</v>
      </c>
      <c r="D22" s="15" t="s">
        <v>21</v>
      </c>
      <c r="E22" s="8" t="s">
        <v>47</v>
      </c>
      <c r="F22" s="8" t="s">
        <v>23</v>
      </c>
      <c r="G22" s="8" t="s">
        <v>2</v>
      </c>
      <c r="H22" s="16">
        <v>15.0</v>
      </c>
      <c r="I22" s="11">
        <f t="shared" si="3"/>
        <v>15</v>
      </c>
      <c r="J22" s="11">
        <f t="shared" si="1"/>
        <v>0</v>
      </c>
      <c r="K22" s="12">
        <f t="shared" si="2"/>
        <v>1</v>
      </c>
    </row>
    <row r="23">
      <c r="A23" s="6">
        <v>22.0</v>
      </c>
      <c r="B23" s="8" t="s">
        <v>44</v>
      </c>
      <c r="C23" s="8" t="s">
        <v>45</v>
      </c>
      <c r="D23" s="15" t="s">
        <v>21</v>
      </c>
      <c r="E23" s="8" t="s">
        <v>48</v>
      </c>
      <c r="F23" s="8" t="s">
        <v>23</v>
      </c>
      <c r="G23" s="8" t="s">
        <v>2</v>
      </c>
      <c r="H23" s="16">
        <v>20.0</v>
      </c>
      <c r="I23" s="11">
        <f t="shared" si="3"/>
        <v>20</v>
      </c>
      <c r="J23" s="11">
        <f t="shared" si="1"/>
        <v>0</v>
      </c>
      <c r="K23" s="12">
        <f t="shared" si="2"/>
        <v>1</v>
      </c>
    </row>
    <row r="24">
      <c r="A24" s="6">
        <v>23.0</v>
      </c>
      <c r="B24" s="8" t="s">
        <v>44</v>
      </c>
      <c r="C24" s="8" t="s">
        <v>45</v>
      </c>
      <c r="D24" s="15" t="s">
        <v>21</v>
      </c>
      <c r="E24" s="8" t="s">
        <v>49</v>
      </c>
      <c r="F24" s="8" t="s">
        <v>23</v>
      </c>
      <c r="G24" s="8" t="s">
        <v>2</v>
      </c>
      <c r="H24" s="16">
        <v>10.0</v>
      </c>
      <c r="I24" s="11">
        <v>2.0</v>
      </c>
      <c r="J24" s="11">
        <f t="shared" si="1"/>
        <v>8</v>
      </c>
      <c r="K24" s="12">
        <f t="shared" si="2"/>
        <v>0.2</v>
      </c>
    </row>
    <row r="25">
      <c r="A25" s="6">
        <v>24.0</v>
      </c>
      <c r="B25" s="8" t="s">
        <v>44</v>
      </c>
      <c r="C25" s="8" t="s">
        <v>45</v>
      </c>
      <c r="D25" s="15" t="s">
        <v>21</v>
      </c>
      <c r="E25" s="8" t="s">
        <v>50</v>
      </c>
      <c r="F25" s="8" t="s">
        <v>32</v>
      </c>
      <c r="G25" s="8" t="s">
        <v>2</v>
      </c>
      <c r="H25" s="16">
        <v>10.0</v>
      </c>
      <c r="I25" s="11">
        <v>10.0</v>
      </c>
      <c r="J25" s="11">
        <f t="shared" si="1"/>
        <v>0</v>
      </c>
      <c r="K25" s="12">
        <f t="shared" si="2"/>
        <v>1</v>
      </c>
    </row>
    <row r="26">
      <c r="A26" s="6">
        <v>25.0</v>
      </c>
      <c r="B26" s="8" t="s">
        <v>44</v>
      </c>
      <c r="C26" s="8" t="s">
        <v>45</v>
      </c>
      <c r="D26" s="15" t="s">
        <v>21</v>
      </c>
      <c r="E26" s="8" t="s">
        <v>51</v>
      </c>
      <c r="F26" s="8" t="s">
        <v>23</v>
      </c>
      <c r="G26" s="8" t="s">
        <v>6</v>
      </c>
      <c r="H26" s="16">
        <v>10.0</v>
      </c>
      <c r="I26" s="11">
        <v>20.0</v>
      </c>
      <c r="J26" s="11">
        <f t="shared" si="1"/>
        <v>-10</v>
      </c>
      <c r="K26" s="12">
        <f t="shared" si="2"/>
        <v>2</v>
      </c>
    </row>
    <row r="27">
      <c r="A27" s="6">
        <v>26.0</v>
      </c>
      <c r="B27" s="8" t="s">
        <v>44</v>
      </c>
      <c r="C27" s="8" t="s">
        <v>45</v>
      </c>
      <c r="D27" s="15" t="s">
        <v>21</v>
      </c>
      <c r="E27" s="8" t="s">
        <v>52</v>
      </c>
      <c r="F27" s="8" t="s">
        <v>23</v>
      </c>
      <c r="G27" s="8" t="s">
        <v>6</v>
      </c>
      <c r="H27" s="16">
        <v>25.0</v>
      </c>
      <c r="I27" s="11">
        <v>20.0</v>
      </c>
      <c r="J27" s="11">
        <f t="shared" si="1"/>
        <v>5</v>
      </c>
      <c r="K27" s="12">
        <f t="shared" si="2"/>
        <v>0.8</v>
      </c>
    </row>
    <row r="28">
      <c r="A28" s="6">
        <v>27.0</v>
      </c>
      <c r="B28" s="8" t="s">
        <v>44</v>
      </c>
      <c r="C28" s="8" t="s">
        <v>45</v>
      </c>
      <c r="D28" s="15" t="s">
        <v>21</v>
      </c>
      <c r="E28" s="8" t="s">
        <v>53</v>
      </c>
      <c r="F28" s="8" t="s">
        <v>26</v>
      </c>
      <c r="G28" s="8" t="s">
        <v>6</v>
      </c>
      <c r="H28" s="16">
        <v>10.0</v>
      </c>
      <c r="I28" s="11">
        <v>20.0</v>
      </c>
      <c r="J28" s="11">
        <f t="shared" si="1"/>
        <v>-10</v>
      </c>
      <c r="K28" s="12">
        <f t="shared" si="2"/>
        <v>2</v>
      </c>
    </row>
    <row r="29">
      <c r="A29" s="6">
        <v>28.0</v>
      </c>
      <c r="B29" s="8" t="s">
        <v>44</v>
      </c>
      <c r="C29" s="8" t="s">
        <v>45</v>
      </c>
      <c r="D29" s="15" t="s">
        <v>21</v>
      </c>
      <c r="E29" s="8" t="s">
        <v>54</v>
      </c>
      <c r="F29" s="8" t="s">
        <v>32</v>
      </c>
      <c r="G29" s="8" t="s">
        <v>6</v>
      </c>
      <c r="H29" s="16">
        <v>10.0</v>
      </c>
      <c r="I29" s="11">
        <v>10.0</v>
      </c>
      <c r="J29" s="11">
        <f t="shared" si="1"/>
        <v>0</v>
      </c>
      <c r="K29" s="12">
        <f t="shared" si="2"/>
        <v>1</v>
      </c>
    </row>
    <row r="30">
      <c r="A30" s="6">
        <v>29.0</v>
      </c>
      <c r="B30" s="8" t="s">
        <v>44</v>
      </c>
      <c r="C30" s="8" t="s">
        <v>45</v>
      </c>
      <c r="D30" s="15" t="s">
        <v>21</v>
      </c>
      <c r="E30" s="8" t="s">
        <v>55</v>
      </c>
      <c r="F30" s="8" t="s">
        <v>23</v>
      </c>
      <c r="G30" s="8" t="s">
        <v>0</v>
      </c>
      <c r="H30" s="16">
        <v>10.0</v>
      </c>
      <c r="I30" s="11">
        <v>20.0</v>
      </c>
      <c r="J30" s="11">
        <f t="shared" si="1"/>
        <v>-10</v>
      </c>
      <c r="K30" s="12">
        <f t="shared" si="2"/>
        <v>2</v>
      </c>
    </row>
    <row r="31">
      <c r="A31" s="6">
        <v>30.0</v>
      </c>
      <c r="B31" s="8" t="s">
        <v>44</v>
      </c>
      <c r="C31" s="8" t="s">
        <v>45</v>
      </c>
      <c r="D31" s="15" t="s">
        <v>21</v>
      </c>
      <c r="E31" s="8" t="s">
        <v>56</v>
      </c>
      <c r="F31" s="8" t="s">
        <v>57</v>
      </c>
      <c r="G31" s="8" t="s">
        <v>0</v>
      </c>
      <c r="H31" s="16">
        <v>15.0</v>
      </c>
      <c r="I31" s="11">
        <v>20.0</v>
      </c>
      <c r="J31" s="11">
        <f t="shared" si="1"/>
        <v>-5</v>
      </c>
      <c r="K31" s="12">
        <f t="shared" si="2"/>
        <v>1.333333333</v>
      </c>
    </row>
    <row r="32">
      <c r="A32" s="6">
        <v>31.0</v>
      </c>
      <c r="B32" s="8" t="s">
        <v>44</v>
      </c>
      <c r="C32" s="8" t="s">
        <v>45</v>
      </c>
      <c r="D32" s="15" t="s">
        <v>21</v>
      </c>
      <c r="E32" s="8" t="s">
        <v>58</v>
      </c>
      <c r="F32" s="8" t="s">
        <v>57</v>
      </c>
      <c r="G32" s="8" t="s">
        <v>0</v>
      </c>
      <c r="H32" s="16">
        <v>10.0</v>
      </c>
      <c r="I32" s="11">
        <v>10.0</v>
      </c>
      <c r="J32" s="11">
        <f t="shared" si="1"/>
        <v>0</v>
      </c>
      <c r="K32" s="12">
        <f t="shared" si="2"/>
        <v>1</v>
      </c>
    </row>
    <row r="33">
      <c r="A33" s="6">
        <v>32.0</v>
      </c>
      <c r="B33" s="8" t="s">
        <v>44</v>
      </c>
      <c r="C33" s="8" t="s">
        <v>45</v>
      </c>
      <c r="D33" s="15" t="s">
        <v>21</v>
      </c>
      <c r="E33" s="8" t="s">
        <v>59</v>
      </c>
      <c r="F33" s="8" t="s">
        <v>57</v>
      </c>
      <c r="G33" s="8" t="s">
        <v>0</v>
      </c>
      <c r="H33" s="16">
        <v>10.0</v>
      </c>
      <c r="I33" s="11">
        <v>10.0</v>
      </c>
      <c r="J33" s="11">
        <f t="shared" si="1"/>
        <v>0</v>
      </c>
      <c r="K33" s="12">
        <f t="shared" si="2"/>
        <v>1</v>
      </c>
    </row>
    <row r="34">
      <c r="A34" s="6">
        <v>33.0</v>
      </c>
      <c r="B34" s="8" t="s">
        <v>44</v>
      </c>
      <c r="C34" s="8" t="s">
        <v>45</v>
      </c>
      <c r="D34" s="15" t="s">
        <v>21</v>
      </c>
      <c r="E34" s="8" t="s">
        <v>60</v>
      </c>
      <c r="F34" s="8" t="s">
        <v>57</v>
      </c>
      <c r="G34" s="8" t="s">
        <v>0</v>
      </c>
      <c r="H34" s="16">
        <v>15.0</v>
      </c>
      <c r="I34" s="11">
        <v>0.0</v>
      </c>
      <c r="J34" s="11">
        <f t="shared" si="1"/>
        <v>15</v>
      </c>
      <c r="K34" s="12">
        <f t="shared" si="2"/>
        <v>0</v>
      </c>
    </row>
    <row r="35">
      <c r="A35" s="6">
        <v>34.0</v>
      </c>
      <c r="B35" s="8" t="s">
        <v>44</v>
      </c>
      <c r="C35" s="8" t="s">
        <v>45</v>
      </c>
      <c r="D35" s="15" t="s">
        <v>21</v>
      </c>
      <c r="E35" s="8" t="s">
        <v>61</v>
      </c>
      <c r="F35" s="8" t="s">
        <v>57</v>
      </c>
      <c r="G35" s="8" t="s">
        <v>4</v>
      </c>
      <c r="H35" s="16">
        <v>15.0</v>
      </c>
      <c r="I35" s="11">
        <v>30.0</v>
      </c>
      <c r="J35" s="11">
        <f t="shared" si="1"/>
        <v>-15</v>
      </c>
      <c r="K35" s="12">
        <f t="shared" si="2"/>
        <v>2</v>
      </c>
    </row>
    <row r="36">
      <c r="A36" s="6">
        <v>35.0</v>
      </c>
      <c r="B36" s="8" t="s">
        <v>44</v>
      </c>
      <c r="C36" s="8" t="s">
        <v>45</v>
      </c>
      <c r="D36" s="15" t="s">
        <v>21</v>
      </c>
      <c r="E36" s="8" t="s">
        <v>62</v>
      </c>
      <c r="F36" s="8" t="s">
        <v>57</v>
      </c>
      <c r="G36" s="8" t="s">
        <v>4</v>
      </c>
      <c r="H36" s="16">
        <v>30.0</v>
      </c>
      <c r="I36" s="11">
        <v>30.0</v>
      </c>
      <c r="J36" s="11">
        <f t="shared" si="1"/>
        <v>0</v>
      </c>
      <c r="K36" s="12">
        <f t="shared" si="2"/>
        <v>1</v>
      </c>
    </row>
    <row r="37">
      <c r="A37" s="6">
        <v>36.0</v>
      </c>
      <c r="B37" s="8" t="s">
        <v>44</v>
      </c>
      <c r="C37" s="8" t="s">
        <v>45</v>
      </c>
      <c r="D37" s="15" t="s">
        <v>21</v>
      </c>
      <c r="E37" s="17"/>
      <c r="F37" s="8" t="s">
        <v>57</v>
      </c>
      <c r="G37" s="8" t="s">
        <v>4</v>
      </c>
      <c r="H37" s="16">
        <v>15.0</v>
      </c>
      <c r="I37" s="11">
        <v>15.0</v>
      </c>
      <c r="J37" s="11">
        <f t="shared" si="1"/>
        <v>0</v>
      </c>
      <c r="K37" s="12">
        <f t="shared" si="2"/>
        <v>1</v>
      </c>
    </row>
    <row r="38">
      <c r="A38" s="6">
        <v>37.0</v>
      </c>
      <c r="B38" s="8" t="s">
        <v>44</v>
      </c>
      <c r="C38" s="8" t="s">
        <v>63</v>
      </c>
      <c r="D38" s="15" t="s">
        <v>64</v>
      </c>
      <c r="E38" s="8" t="s">
        <v>65</v>
      </c>
      <c r="F38" s="8" t="s">
        <v>57</v>
      </c>
      <c r="G38" s="8" t="s">
        <v>2</v>
      </c>
      <c r="H38" s="16">
        <v>30.0</v>
      </c>
      <c r="I38" s="11">
        <v>30.0</v>
      </c>
      <c r="J38" s="11">
        <f t="shared" si="1"/>
        <v>0</v>
      </c>
      <c r="K38" s="12">
        <f t="shared" si="2"/>
        <v>1</v>
      </c>
    </row>
    <row r="39">
      <c r="A39" s="6">
        <v>38.0</v>
      </c>
      <c r="B39" s="8" t="s">
        <v>44</v>
      </c>
      <c r="C39" s="8" t="s">
        <v>66</v>
      </c>
      <c r="D39" s="15" t="s">
        <v>64</v>
      </c>
      <c r="E39" s="8" t="s">
        <v>67</v>
      </c>
      <c r="F39" s="8" t="s">
        <v>57</v>
      </c>
      <c r="G39" s="8" t="s">
        <v>2</v>
      </c>
      <c r="H39" s="16">
        <v>20.0</v>
      </c>
      <c r="I39" s="11">
        <v>20.0</v>
      </c>
      <c r="J39" s="11">
        <f t="shared" si="1"/>
        <v>0</v>
      </c>
      <c r="K39" s="12">
        <f t="shared" si="2"/>
        <v>1</v>
      </c>
    </row>
    <row r="40">
      <c r="A40" s="6">
        <v>39.0</v>
      </c>
      <c r="B40" s="8" t="s">
        <v>44</v>
      </c>
      <c r="C40" s="8" t="s">
        <v>66</v>
      </c>
      <c r="D40" s="15" t="s">
        <v>64</v>
      </c>
      <c r="E40" s="8" t="s">
        <v>68</v>
      </c>
      <c r="F40" s="8" t="s">
        <v>26</v>
      </c>
      <c r="G40" s="8" t="s">
        <v>2</v>
      </c>
      <c r="H40" s="16">
        <v>15.0</v>
      </c>
      <c r="I40" s="11">
        <v>15.0</v>
      </c>
      <c r="J40" s="11">
        <f t="shared" si="1"/>
        <v>0</v>
      </c>
      <c r="K40" s="12">
        <f t="shared" si="2"/>
        <v>1</v>
      </c>
    </row>
    <row r="41">
      <c r="A41" s="6">
        <v>40.0</v>
      </c>
      <c r="B41" s="8" t="s">
        <v>44</v>
      </c>
      <c r="C41" s="8" t="s">
        <v>66</v>
      </c>
      <c r="D41" s="15" t="s">
        <v>64</v>
      </c>
      <c r="E41" s="8" t="s">
        <v>69</v>
      </c>
      <c r="F41" s="8" t="s">
        <v>26</v>
      </c>
      <c r="G41" s="8" t="s">
        <v>6</v>
      </c>
      <c r="H41" s="16">
        <v>20.0</v>
      </c>
      <c r="I41" s="17"/>
      <c r="J41" s="11">
        <f t="shared" si="1"/>
        <v>20</v>
      </c>
      <c r="K41" s="12">
        <f t="shared" si="2"/>
        <v>0</v>
      </c>
    </row>
    <row r="42">
      <c r="A42" s="6">
        <v>41.0</v>
      </c>
      <c r="B42" s="18" t="s">
        <v>70</v>
      </c>
      <c r="C42" s="18" t="s">
        <v>71</v>
      </c>
      <c r="D42" s="15"/>
      <c r="E42" s="18" t="s">
        <v>72</v>
      </c>
      <c r="F42" s="18" t="s">
        <v>26</v>
      </c>
      <c r="G42" s="18" t="s">
        <v>0</v>
      </c>
      <c r="H42" s="19">
        <v>30.0</v>
      </c>
      <c r="I42" s="20">
        <v>30.0</v>
      </c>
      <c r="J42" s="11">
        <f t="shared" si="1"/>
        <v>0</v>
      </c>
      <c r="K42" s="12">
        <f t="shared" si="2"/>
        <v>1</v>
      </c>
    </row>
    <row r="43">
      <c r="A43" s="6">
        <v>42.0</v>
      </c>
      <c r="B43" s="8" t="s">
        <v>44</v>
      </c>
      <c r="C43" s="8" t="s">
        <v>63</v>
      </c>
      <c r="D43" s="15" t="s">
        <v>73</v>
      </c>
      <c r="E43" s="8" t="s">
        <v>74</v>
      </c>
      <c r="F43" s="8" t="s">
        <v>26</v>
      </c>
      <c r="G43" s="8" t="s">
        <v>6</v>
      </c>
      <c r="H43" s="16">
        <v>20.0</v>
      </c>
      <c r="I43" s="11">
        <v>30.0</v>
      </c>
      <c r="J43" s="11">
        <f t="shared" si="1"/>
        <v>-10</v>
      </c>
      <c r="K43" s="12">
        <f t="shared" si="2"/>
        <v>1.5</v>
      </c>
    </row>
    <row r="44">
      <c r="A44" s="6">
        <v>43.0</v>
      </c>
      <c r="B44" s="8" t="s">
        <v>44</v>
      </c>
      <c r="C44" s="8" t="s">
        <v>63</v>
      </c>
      <c r="D44" s="15" t="s">
        <v>73</v>
      </c>
      <c r="E44" s="8" t="s">
        <v>75</v>
      </c>
      <c r="F44" s="8" t="s">
        <v>26</v>
      </c>
      <c r="G44" s="8" t="s">
        <v>6</v>
      </c>
      <c r="H44" s="16">
        <v>20.0</v>
      </c>
      <c r="I44" s="11">
        <v>30.0</v>
      </c>
      <c r="J44" s="11">
        <f t="shared" si="1"/>
        <v>-10</v>
      </c>
      <c r="K44" s="12">
        <f t="shared" si="2"/>
        <v>1.5</v>
      </c>
    </row>
    <row r="45">
      <c r="A45" s="6">
        <v>44.0</v>
      </c>
      <c r="B45" s="8" t="s">
        <v>44</v>
      </c>
      <c r="C45" s="8" t="s">
        <v>63</v>
      </c>
      <c r="D45" s="15" t="s">
        <v>73</v>
      </c>
      <c r="E45" s="8" t="s">
        <v>76</v>
      </c>
      <c r="F45" s="8" t="s">
        <v>26</v>
      </c>
      <c r="G45" s="8" t="s">
        <v>0</v>
      </c>
      <c r="H45" s="16">
        <v>10.0</v>
      </c>
      <c r="I45" s="11">
        <v>15.0</v>
      </c>
      <c r="J45" s="11">
        <f t="shared" si="1"/>
        <v>-5</v>
      </c>
      <c r="K45" s="12">
        <f t="shared" si="2"/>
        <v>1.5</v>
      </c>
    </row>
    <row r="46">
      <c r="A46" s="6">
        <v>45.0</v>
      </c>
      <c r="B46" s="8" t="s">
        <v>44</v>
      </c>
      <c r="C46" s="8" t="s">
        <v>63</v>
      </c>
      <c r="D46" s="15" t="s">
        <v>73</v>
      </c>
      <c r="E46" s="8" t="s">
        <v>77</v>
      </c>
      <c r="F46" s="8" t="s">
        <v>57</v>
      </c>
      <c r="G46" s="8" t="s">
        <v>0</v>
      </c>
      <c r="H46" s="16">
        <v>10.0</v>
      </c>
      <c r="I46" s="11">
        <v>10.0</v>
      </c>
      <c r="J46" s="11">
        <f t="shared" si="1"/>
        <v>0</v>
      </c>
      <c r="K46" s="12">
        <f t="shared" si="2"/>
        <v>1</v>
      </c>
    </row>
    <row r="47">
      <c r="A47" s="6">
        <v>46.0</v>
      </c>
      <c r="B47" s="8" t="s">
        <v>44</v>
      </c>
      <c r="C47" s="8" t="s">
        <v>63</v>
      </c>
      <c r="D47" s="15" t="s">
        <v>78</v>
      </c>
      <c r="E47" s="8" t="s">
        <v>79</v>
      </c>
      <c r="F47" s="8" t="s">
        <v>32</v>
      </c>
      <c r="G47" s="8" t="s">
        <v>0</v>
      </c>
      <c r="H47" s="16">
        <v>15.0</v>
      </c>
      <c r="I47" s="11">
        <v>20.0</v>
      </c>
      <c r="J47" s="11">
        <f t="shared" si="1"/>
        <v>-5</v>
      </c>
      <c r="K47" s="12">
        <f t="shared" si="2"/>
        <v>1.333333333</v>
      </c>
    </row>
    <row r="48">
      <c r="A48" s="6">
        <v>47.0</v>
      </c>
      <c r="B48" s="8" t="s">
        <v>44</v>
      </c>
      <c r="C48" s="8" t="s">
        <v>63</v>
      </c>
      <c r="D48" s="15" t="s">
        <v>78</v>
      </c>
      <c r="E48" s="8" t="s">
        <v>80</v>
      </c>
      <c r="F48" s="8" t="s">
        <v>32</v>
      </c>
      <c r="G48" s="8" t="s">
        <v>0</v>
      </c>
      <c r="H48" s="16">
        <v>40.0</v>
      </c>
      <c r="I48" s="11">
        <v>40.0</v>
      </c>
      <c r="J48" s="11">
        <f t="shared" si="1"/>
        <v>0</v>
      </c>
      <c r="K48" s="12">
        <f t="shared" si="2"/>
        <v>1</v>
      </c>
    </row>
    <row r="49">
      <c r="A49" s="6">
        <v>48.0</v>
      </c>
      <c r="B49" s="8" t="s">
        <v>44</v>
      </c>
      <c r="C49" s="8" t="s">
        <v>63</v>
      </c>
      <c r="D49" s="15" t="s">
        <v>81</v>
      </c>
      <c r="E49" s="8" t="s">
        <v>82</v>
      </c>
      <c r="F49" s="8" t="s">
        <v>26</v>
      </c>
      <c r="G49" s="8" t="s">
        <v>4</v>
      </c>
      <c r="H49" s="16">
        <v>30.0</v>
      </c>
      <c r="I49" s="11">
        <v>30.0</v>
      </c>
      <c r="J49" s="11">
        <f t="shared" si="1"/>
        <v>0</v>
      </c>
      <c r="K49" s="12">
        <f t="shared" si="2"/>
        <v>1</v>
      </c>
    </row>
    <row r="50">
      <c r="A50" s="6">
        <v>49.0</v>
      </c>
      <c r="B50" s="8" t="s">
        <v>44</v>
      </c>
      <c r="C50" s="8" t="s">
        <v>63</v>
      </c>
      <c r="D50" s="15" t="s">
        <v>81</v>
      </c>
      <c r="E50" s="8" t="s">
        <v>83</v>
      </c>
      <c r="F50" s="8" t="s">
        <v>57</v>
      </c>
      <c r="G50" s="8" t="s">
        <v>4</v>
      </c>
      <c r="H50" s="16">
        <v>10.0</v>
      </c>
      <c r="I50" s="11">
        <v>10.0</v>
      </c>
      <c r="J50" s="11">
        <f t="shared" si="1"/>
        <v>0</v>
      </c>
      <c r="K50" s="12">
        <f t="shared" si="2"/>
        <v>1</v>
      </c>
    </row>
    <row r="51">
      <c r="A51" s="6">
        <v>50.0</v>
      </c>
      <c r="B51" s="8" t="s">
        <v>44</v>
      </c>
      <c r="C51" s="8" t="s">
        <v>63</v>
      </c>
      <c r="D51" s="15" t="s">
        <v>81</v>
      </c>
      <c r="E51" s="21" t="s">
        <v>84</v>
      </c>
      <c r="F51" s="8" t="s">
        <v>57</v>
      </c>
      <c r="G51" s="8" t="s">
        <v>4</v>
      </c>
      <c r="H51" s="16">
        <v>10.0</v>
      </c>
      <c r="I51" s="11">
        <v>10.0</v>
      </c>
      <c r="J51" s="11">
        <f t="shared" si="1"/>
        <v>0</v>
      </c>
      <c r="K51" s="12">
        <f t="shared" si="2"/>
        <v>1</v>
      </c>
    </row>
    <row r="52">
      <c r="A52" s="6">
        <v>51.0</v>
      </c>
      <c r="B52" s="8" t="s">
        <v>44</v>
      </c>
      <c r="C52" s="8" t="s">
        <v>63</v>
      </c>
      <c r="D52" s="15" t="s">
        <v>81</v>
      </c>
      <c r="E52" s="8" t="s">
        <v>85</v>
      </c>
      <c r="F52" s="8" t="s">
        <v>32</v>
      </c>
      <c r="G52" s="8" t="s">
        <v>4</v>
      </c>
      <c r="H52" s="16">
        <v>15.0</v>
      </c>
      <c r="I52" s="11">
        <v>15.0</v>
      </c>
      <c r="J52" s="11">
        <f t="shared" si="1"/>
        <v>0</v>
      </c>
      <c r="K52" s="12">
        <f t="shared" si="2"/>
        <v>1</v>
      </c>
    </row>
    <row r="53">
      <c r="A53" s="6">
        <v>52.0</v>
      </c>
      <c r="B53" s="8" t="s">
        <v>44</v>
      </c>
      <c r="C53" s="8" t="s">
        <v>63</v>
      </c>
      <c r="D53" s="15" t="s">
        <v>81</v>
      </c>
      <c r="E53" s="8" t="s">
        <v>86</v>
      </c>
      <c r="F53" s="8" t="s">
        <v>26</v>
      </c>
      <c r="G53" s="8" t="s">
        <v>2</v>
      </c>
      <c r="H53" s="16">
        <v>30.0</v>
      </c>
      <c r="I53" s="11">
        <v>30.0</v>
      </c>
      <c r="J53" s="11">
        <f t="shared" si="1"/>
        <v>0</v>
      </c>
      <c r="K53" s="12">
        <f t="shared" si="2"/>
        <v>1</v>
      </c>
    </row>
    <row r="54">
      <c r="A54" s="6">
        <v>53.0</v>
      </c>
      <c r="B54" s="8" t="s">
        <v>44</v>
      </c>
      <c r="C54" s="8" t="s">
        <v>63</v>
      </c>
      <c r="D54" s="15" t="s">
        <v>81</v>
      </c>
      <c r="E54" s="18" t="s">
        <v>87</v>
      </c>
      <c r="F54" s="8" t="s">
        <v>26</v>
      </c>
      <c r="G54" s="18" t="s">
        <v>6</v>
      </c>
      <c r="H54" s="19">
        <v>30.0</v>
      </c>
      <c r="I54" s="20">
        <v>30.0</v>
      </c>
      <c r="J54" s="11">
        <f t="shared" si="1"/>
        <v>0</v>
      </c>
      <c r="K54" s="12">
        <f t="shared" si="2"/>
        <v>1</v>
      </c>
    </row>
    <row r="55">
      <c r="A55" s="6">
        <v>54.0</v>
      </c>
      <c r="B55" s="8" t="s">
        <v>44</v>
      </c>
      <c r="C55" s="8" t="s">
        <v>63</v>
      </c>
      <c r="D55" s="15" t="s">
        <v>81</v>
      </c>
      <c r="E55" s="18" t="s">
        <v>88</v>
      </c>
      <c r="F55" s="8" t="s">
        <v>26</v>
      </c>
      <c r="G55" s="18" t="s">
        <v>4</v>
      </c>
      <c r="H55" s="19">
        <v>30.0</v>
      </c>
      <c r="I55" s="20">
        <v>30.0</v>
      </c>
      <c r="J55" s="11">
        <f t="shared" si="1"/>
        <v>0</v>
      </c>
      <c r="K55" s="12">
        <f t="shared" si="2"/>
        <v>1</v>
      </c>
    </row>
    <row r="56">
      <c r="A56" s="6">
        <v>55.0</v>
      </c>
      <c r="B56" s="8" t="s">
        <v>44</v>
      </c>
      <c r="C56" s="18" t="s">
        <v>63</v>
      </c>
      <c r="D56" s="15" t="s">
        <v>81</v>
      </c>
      <c r="E56" s="8" t="s">
        <v>89</v>
      </c>
      <c r="F56" s="8" t="s">
        <v>32</v>
      </c>
      <c r="G56" s="8" t="s">
        <v>2</v>
      </c>
      <c r="H56" s="22">
        <v>15.0</v>
      </c>
      <c r="I56" s="11">
        <v>15.0</v>
      </c>
      <c r="J56" s="11">
        <f t="shared" si="1"/>
        <v>0</v>
      </c>
      <c r="K56" s="12">
        <f t="shared" si="2"/>
        <v>1</v>
      </c>
    </row>
    <row r="57">
      <c r="A57" s="6">
        <v>56.0</v>
      </c>
      <c r="B57" s="18" t="s">
        <v>44</v>
      </c>
      <c r="C57" s="18" t="s">
        <v>63</v>
      </c>
      <c r="D57" s="23" t="s">
        <v>90</v>
      </c>
      <c r="E57" s="18" t="s">
        <v>91</v>
      </c>
      <c r="F57" s="8" t="s">
        <v>32</v>
      </c>
      <c r="G57" s="18" t="s">
        <v>2</v>
      </c>
      <c r="H57" s="19">
        <v>15.0</v>
      </c>
      <c r="I57" s="20">
        <v>15.0</v>
      </c>
      <c r="J57" s="11">
        <f t="shared" si="1"/>
        <v>0</v>
      </c>
      <c r="K57" s="12">
        <f t="shared" si="2"/>
        <v>1</v>
      </c>
    </row>
    <row r="58">
      <c r="A58" s="6">
        <v>57.0</v>
      </c>
      <c r="B58" s="18" t="s">
        <v>44</v>
      </c>
      <c r="C58" s="18" t="s">
        <v>63</v>
      </c>
      <c r="D58" s="23" t="s">
        <v>90</v>
      </c>
      <c r="E58" s="18" t="s">
        <v>92</v>
      </c>
      <c r="F58" s="8" t="s">
        <v>32</v>
      </c>
      <c r="G58" s="18" t="s">
        <v>4</v>
      </c>
      <c r="H58" s="19">
        <v>30.0</v>
      </c>
      <c r="I58" s="20">
        <v>30.0</v>
      </c>
      <c r="J58" s="11">
        <f t="shared" si="1"/>
        <v>0</v>
      </c>
      <c r="K58" s="12">
        <f t="shared" si="2"/>
        <v>1</v>
      </c>
    </row>
    <row r="59">
      <c r="A59" s="6">
        <v>58.0</v>
      </c>
      <c r="B59" s="18" t="s">
        <v>44</v>
      </c>
      <c r="C59" s="21" t="s">
        <v>93</v>
      </c>
      <c r="D59" s="15" t="s">
        <v>94</v>
      </c>
      <c r="E59" s="8" t="s">
        <v>95</v>
      </c>
      <c r="F59" s="8" t="s">
        <v>23</v>
      </c>
      <c r="G59" s="8" t="s">
        <v>6</v>
      </c>
      <c r="H59" s="16">
        <v>15.0</v>
      </c>
      <c r="I59" s="11">
        <v>15.0</v>
      </c>
      <c r="J59" s="11">
        <f t="shared" si="1"/>
        <v>0</v>
      </c>
      <c r="K59" s="12">
        <f t="shared" si="2"/>
        <v>1</v>
      </c>
    </row>
    <row r="60">
      <c r="A60" s="6">
        <v>59.0</v>
      </c>
      <c r="B60" s="8" t="s">
        <v>44</v>
      </c>
      <c r="C60" s="21" t="s">
        <v>93</v>
      </c>
      <c r="D60" s="15" t="s">
        <v>94</v>
      </c>
      <c r="E60" s="21" t="s">
        <v>96</v>
      </c>
      <c r="F60" s="8" t="s">
        <v>23</v>
      </c>
      <c r="G60" s="8" t="s">
        <v>6</v>
      </c>
      <c r="H60" s="16">
        <v>15.0</v>
      </c>
      <c r="I60" s="11">
        <v>15.0</v>
      </c>
      <c r="J60" s="11">
        <f t="shared" si="1"/>
        <v>0</v>
      </c>
      <c r="K60" s="12">
        <f t="shared" si="2"/>
        <v>1</v>
      </c>
    </row>
    <row r="61">
      <c r="A61" s="6">
        <v>60.0</v>
      </c>
      <c r="B61" s="8" t="s">
        <v>44</v>
      </c>
      <c r="C61" s="21" t="s">
        <v>93</v>
      </c>
      <c r="D61" s="15" t="s">
        <v>94</v>
      </c>
      <c r="E61" s="8" t="s">
        <v>97</v>
      </c>
      <c r="F61" s="8" t="s">
        <v>23</v>
      </c>
      <c r="G61" s="8" t="s">
        <v>6</v>
      </c>
      <c r="H61" s="16">
        <v>20.0</v>
      </c>
      <c r="I61" s="11">
        <v>20.0</v>
      </c>
      <c r="J61" s="11">
        <f t="shared" si="1"/>
        <v>0</v>
      </c>
      <c r="K61" s="12">
        <f t="shared" si="2"/>
        <v>1</v>
      </c>
    </row>
    <row r="62">
      <c r="A62" s="6">
        <v>61.0</v>
      </c>
      <c r="B62" s="8" t="s">
        <v>44</v>
      </c>
      <c r="C62" s="21" t="s">
        <v>93</v>
      </c>
      <c r="D62" s="15" t="s">
        <v>94</v>
      </c>
      <c r="E62" s="8" t="s">
        <v>98</v>
      </c>
      <c r="F62" s="8" t="s">
        <v>23</v>
      </c>
      <c r="G62" s="8" t="s">
        <v>6</v>
      </c>
      <c r="H62" s="16">
        <v>15.0</v>
      </c>
      <c r="I62" s="11">
        <v>15.0</v>
      </c>
      <c r="J62" s="11">
        <f t="shared" si="1"/>
        <v>0</v>
      </c>
      <c r="K62" s="12">
        <f t="shared" si="2"/>
        <v>1</v>
      </c>
    </row>
    <row r="63">
      <c r="A63" s="6">
        <v>62.0</v>
      </c>
      <c r="B63" s="8" t="s">
        <v>44</v>
      </c>
      <c r="C63" s="21" t="s">
        <v>93</v>
      </c>
      <c r="D63" s="17"/>
      <c r="E63" s="8" t="s">
        <v>99</v>
      </c>
      <c r="F63" s="8" t="s">
        <v>23</v>
      </c>
      <c r="G63" s="8" t="s">
        <v>6</v>
      </c>
      <c r="H63" s="16">
        <v>20.0</v>
      </c>
      <c r="I63" s="17"/>
      <c r="J63" s="11">
        <f t="shared" si="1"/>
        <v>20</v>
      </c>
      <c r="K63" s="12">
        <f t="shared" si="2"/>
        <v>0</v>
      </c>
    </row>
    <row r="64">
      <c r="A64" s="6">
        <v>63.0</v>
      </c>
      <c r="B64" s="8" t="s">
        <v>100</v>
      </c>
      <c r="C64" s="21" t="s">
        <v>93</v>
      </c>
      <c r="D64" s="17"/>
      <c r="E64" s="8" t="s">
        <v>101</v>
      </c>
      <c r="F64" s="8" t="s">
        <v>23</v>
      </c>
      <c r="G64" s="8" t="s">
        <v>6</v>
      </c>
      <c r="H64" s="16">
        <v>20.0</v>
      </c>
      <c r="I64" s="17"/>
      <c r="J64" s="11">
        <f t="shared" si="1"/>
        <v>20</v>
      </c>
      <c r="K64" s="12">
        <f t="shared" si="2"/>
        <v>0</v>
      </c>
    </row>
    <row r="65">
      <c r="A65" s="6">
        <v>64.0</v>
      </c>
      <c r="B65" s="8" t="s">
        <v>19</v>
      </c>
      <c r="C65" s="21" t="s">
        <v>93</v>
      </c>
      <c r="D65" s="17"/>
      <c r="E65" s="8" t="s">
        <v>102</v>
      </c>
      <c r="F65" s="8" t="s">
        <v>57</v>
      </c>
      <c r="G65" s="8" t="s">
        <v>4</v>
      </c>
      <c r="H65" s="16">
        <v>25.0</v>
      </c>
      <c r="I65" s="17"/>
      <c r="J65" s="11">
        <f t="shared" si="1"/>
        <v>25</v>
      </c>
      <c r="K65" s="12">
        <f t="shared" si="2"/>
        <v>0</v>
      </c>
    </row>
    <row r="66">
      <c r="A66" s="6">
        <v>65.0</v>
      </c>
      <c r="B66" s="8" t="s">
        <v>19</v>
      </c>
      <c r="C66" s="21" t="s">
        <v>93</v>
      </c>
      <c r="D66" s="17"/>
      <c r="E66" s="8" t="s">
        <v>103</v>
      </c>
      <c r="F66" s="8" t="s">
        <v>57</v>
      </c>
      <c r="G66" s="8" t="s">
        <v>4</v>
      </c>
      <c r="H66" s="16">
        <v>25.0</v>
      </c>
      <c r="I66" s="17"/>
      <c r="J66" s="11">
        <f t="shared" si="1"/>
        <v>25</v>
      </c>
      <c r="K66" s="12">
        <f t="shared" si="2"/>
        <v>0</v>
      </c>
    </row>
    <row r="67">
      <c r="A67" s="6">
        <v>66.0</v>
      </c>
      <c r="B67" s="8" t="s">
        <v>19</v>
      </c>
      <c r="C67" s="21" t="s">
        <v>93</v>
      </c>
      <c r="D67" s="17"/>
      <c r="E67" s="8" t="s">
        <v>104</v>
      </c>
      <c r="F67" s="8" t="s">
        <v>105</v>
      </c>
      <c r="G67" s="8" t="s">
        <v>4</v>
      </c>
      <c r="H67" s="16">
        <v>20.0</v>
      </c>
      <c r="I67" s="17"/>
      <c r="J67" s="11">
        <f t="shared" si="1"/>
        <v>20</v>
      </c>
      <c r="K67" s="12">
        <f t="shared" si="2"/>
        <v>0</v>
      </c>
    </row>
    <row r="68">
      <c r="A68" s="6">
        <v>67.0</v>
      </c>
      <c r="B68" s="8" t="s">
        <v>19</v>
      </c>
      <c r="C68" s="21" t="s">
        <v>93</v>
      </c>
      <c r="D68" s="17"/>
      <c r="E68" s="8" t="s">
        <v>106</v>
      </c>
      <c r="F68" s="8" t="s">
        <v>105</v>
      </c>
      <c r="G68" s="8" t="s">
        <v>4</v>
      </c>
      <c r="H68" s="16">
        <v>20.0</v>
      </c>
      <c r="I68" s="17"/>
      <c r="J68" s="11">
        <f t="shared" si="1"/>
        <v>20</v>
      </c>
      <c r="K68" s="12">
        <f t="shared" si="2"/>
        <v>0</v>
      </c>
    </row>
    <row r="69">
      <c r="A69" s="6">
        <v>68.0</v>
      </c>
      <c r="B69" s="8" t="s">
        <v>19</v>
      </c>
      <c r="C69" s="21" t="s">
        <v>93</v>
      </c>
      <c r="D69" s="17"/>
      <c r="E69" s="8" t="s">
        <v>107</v>
      </c>
      <c r="F69" s="8" t="s">
        <v>108</v>
      </c>
      <c r="G69" s="8" t="s">
        <v>4</v>
      </c>
      <c r="H69" s="16">
        <v>15.0</v>
      </c>
      <c r="I69" s="17"/>
      <c r="J69" s="11">
        <f t="shared" si="1"/>
        <v>15</v>
      </c>
      <c r="K69" s="12">
        <f t="shared" si="2"/>
        <v>0</v>
      </c>
    </row>
    <row r="70">
      <c r="A70" s="6">
        <v>69.0</v>
      </c>
      <c r="B70" s="8" t="s">
        <v>44</v>
      </c>
      <c r="C70" s="21" t="s">
        <v>93</v>
      </c>
      <c r="D70" s="17"/>
      <c r="E70" s="8" t="s">
        <v>109</v>
      </c>
      <c r="F70" s="8" t="s">
        <v>105</v>
      </c>
      <c r="G70" s="8" t="s">
        <v>0</v>
      </c>
      <c r="H70" s="16">
        <v>15.0</v>
      </c>
      <c r="I70" s="17"/>
      <c r="J70" s="11">
        <f t="shared" si="1"/>
        <v>15</v>
      </c>
      <c r="K70" s="12">
        <f t="shared" si="2"/>
        <v>0</v>
      </c>
    </row>
    <row r="71">
      <c r="A71" s="6">
        <v>70.0</v>
      </c>
      <c r="B71" s="8" t="s">
        <v>44</v>
      </c>
      <c r="C71" s="21" t="s">
        <v>93</v>
      </c>
      <c r="D71" s="17"/>
      <c r="E71" s="8" t="s">
        <v>110</v>
      </c>
      <c r="F71" s="8" t="s">
        <v>108</v>
      </c>
      <c r="G71" s="8" t="s">
        <v>0</v>
      </c>
      <c r="H71" s="16">
        <v>20.0</v>
      </c>
      <c r="I71" s="17"/>
      <c r="J71" s="11">
        <f t="shared" si="1"/>
        <v>20</v>
      </c>
      <c r="K71" s="12">
        <f t="shared" si="2"/>
        <v>0</v>
      </c>
    </row>
    <row r="72">
      <c r="A72" s="6">
        <v>71.0</v>
      </c>
      <c r="B72" s="8" t="s">
        <v>44</v>
      </c>
      <c r="C72" s="21" t="s">
        <v>93</v>
      </c>
      <c r="D72" s="17"/>
      <c r="E72" s="8" t="s">
        <v>111</v>
      </c>
      <c r="F72" s="8" t="s">
        <v>57</v>
      </c>
      <c r="G72" s="8" t="s">
        <v>0</v>
      </c>
      <c r="H72" s="16">
        <v>20.0</v>
      </c>
      <c r="I72" s="17"/>
      <c r="J72" s="11">
        <f t="shared" si="1"/>
        <v>20</v>
      </c>
      <c r="K72" s="12">
        <f t="shared" si="2"/>
        <v>0</v>
      </c>
    </row>
    <row r="73">
      <c r="A73" s="6">
        <v>72.0</v>
      </c>
      <c r="B73" s="8" t="s">
        <v>44</v>
      </c>
      <c r="C73" s="21" t="s">
        <v>93</v>
      </c>
      <c r="D73" s="17"/>
      <c r="E73" s="8" t="s">
        <v>112</v>
      </c>
      <c r="F73" s="8" t="s">
        <v>105</v>
      </c>
      <c r="G73" s="8" t="s">
        <v>0</v>
      </c>
      <c r="H73" s="16">
        <v>15.0</v>
      </c>
      <c r="I73" s="17"/>
      <c r="J73" s="11">
        <f t="shared" si="1"/>
        <v>15</v>
      </c>
      <c r="K73" s="12">
        <f t="shared" si="2"/>
        <v>0</v>
      </c>
    </row>
    <row r="74">
      <c r="A74" s="6">
        <v>73.0</v>
      </c>
      <c r="B74" s="8" t="s">
        <v>44</v>
      </c>
      <c r="C74" s="21" t="s">
        <v>93</v>
      </c>
      <c r="D74" s="17"/>
      <c r="E74" s="8" t="s">
        <v>113</v>
      </c>
      <c r="F74" s="8" t="s">
        <v>57</v>
      </c>
      <c r="G74" s="8" t="s">
        <v>0</v>
      </c>
      <c r="H74" s="16">
        <v>25.0</v>
      </c>
      <c r="I74" s="17"/>
      <c r="J74" s="11">
        <f t="shared" si="1"/>
        <v>25</v>
      </c>
      <c r="K74" s="12">
        <f t="shared" si="2"/>
        <v>0</v>
      </c>
    </row>
    <row r="75">
      <c r="A75" s="6">
        <v>74.0</v>
      </c>
      <c r="B75" s="8" t="s">
        <v>44</v>
      </c>
      <c r="C75" s="21" t="s">
        <v>93</v>
      </c>
      <c r="D75" s="17"/>
      <c r="E75" s="8" t="s">
        <v>114</v>
      </c>
      <c r="F75" s="8" t="s">
        <v>105</v>
      </c>
      <c r="G75" s="8" t="s">
        <v>2</v>
      </c>
      <c r="H75" s="16">
        <v>20.0</v>
      </c>
      <c r="I75" s="17"/>
      <c r="J75" s="11">
        <f t="shared" si="1"/>
        <v>20</v>
      </c>
      <c r="K75" s="12">
        <f t="shared" si="2"/>
        <v>0</v>
      </c>
    </row>
    <row r="76">
      <c r="A76" s="6">
        <v>75.0</v>
      </c>
      <c r="B76" s="8" t="s">
        <v>44</v>
      </c>
      <c r="C76" s="21" t="s">
        <v>93</v>
      </c>
      <c r="D76" s="17"/>
      <c r="E76" s="8" t="s">
        <v>115</v>
      </c>
      <c r="F76" s="8" t="s">
        <v>105</v>
      </c>
      <c r="G76" s="8" t="s">
        <v>2</v>
      </c>
      <c r="H76" s="16">
        <v>15.0</v>
      </c>
      <c r="I76" s="17"/>
      <c r="J76" s="11">
        <f t="shared" si="1"/>
        <v>15</v>
      </c>
      <c r="K76" s="12">
        <f t="shared" si="2"/>
        <v>0</v>
      </c>
    </row>
    <row r="77">
      <c r="A77" s="6">
        <v>76.0</v>
      </c>
      <c r="B77" s="8" t="s">
        <v>44</v>
      </c>
      <c r="C77" s="21" t="s">
        <v>93</v>
      </c>
      <c r="D77" s="17"/>
      <c r="E77" s="8" t="s">
        <v>116</v>
      </c>
      <c r="F77" s="8" t="s">
        <v>57</v>
      </c>
      <c r="G77" s="8" t="s">
        <v>2</v>
      </c>
      <c r="H77" s="16">
        <v>25.0</v>
      </c>
      <c r="I77" s="17"/>
      <c r="J77" s="11">
        <f t="shared" si="1"/>
        <v>25</v>
      </c>
      <c r="K77" s="12">
        <f t="shared" si="2"/>
        <v>0</v>
      </c>
    </row>
    <row r="78">
      <c r="A78" s="6">
        <v>77.0</v>
      </c>
      <c r="B78" s="8" t="s">
        <v>44</v>
      </c>
      <c r="C78" s="21" t="s">
        <v>93</v>
      </c>
      <c r="D78" s="17"/>
      <c r="E78" s="8" t="s">
        <v>117</v>
      </c>
      <c r="F78" s="8" t="s">
        <v>57</v>
      </c>
      <c r="G78" s="8" t="s">
        <v>2</v>
      </c>
      <c r="H78" s="16">
        <v>20.0</v>
      </c>
      <c r="I78" s="17"/>
      <c r="J78" s="11">
        <f t="shared" si="1"/>
        <v>20</v>
      </c>
      <c r="K78" s="12">
        <f t="shared" si="2"/>
        <v>0</v>
      </c>
    </row>
    <row r="79">
      <c r="A79" s="6">
        <v>78.0</v>
      </c>
      <c r="B79" s="8" t="s">
        <v>44</v>
      </c>
      <c r="C79" s="21" t="s">
        <v>93</v>
      </c>
      <c r="D79" s="17"/>
      <c r="E79" s="8" t="s">
        <v>118</v>
      </c>
      <c r="F79" s="8" t="s">
        <v>105</v>
      </c>
      <c r="G79" s="8" t="s">
        <v>2</v>
      </c>
      <c r="H79" s="16">
        <v>20.0</v>
      </c>
      <c r="I79" s="17"/>
      <c r="J79" s="11">
        <f t="shared" si="1"/>
        <v>20</v>
      </c>
      <c r="K79" s="12">
        <f t="shared" si="2"/>
        <v>0</v>
      </c>
    </row>
    <row r="80">
      <c r="A80" s="6">
        <v>79.0</v>
      </c>
      <c r="B80" s="8" t="s">
        <v>44</v>
      </c>
      <c r="C80" s="21" t="s">
        <v>93</v>
      </c>
      <c r="D80" s="17"/>
      <c r="E80" s="8" t="s">
        <v>119</v>
      </c>
      <c r="F80" s="8" t="s">
        <v>57</v>
      </c>
      <c r="G80" s="8" t="s">
        <v>2</v>
      </c>
      <c r="H80" s="16">
        <v>20.0</v>
      </c>
      <c r="I80" s="17"/>
      <c r="J80" s="11">
        <f t="shared" si="1"/>
        <v>20</v>
      </c>
      <c r="K80" s="12">
        <f t="shared" si="2"/>
        <v>0</v>
      </c>
    </row>
    <row r="81">
      <c r="A81" s="6">
        <v>80.0</v>
      </c>
      <c r="B81" s="8" t="s">
        <v>44</v>
      </c>
      <c r="C81" s="21" t="s">
        <v>93</v>
      </c>
      <c r="D81" s="17"/>
      <c r="E81" s="8" t="s">
        <v>120</v>
      </c>
      <c r="F81" s="8" t="s">
        <v>105</v>
      </c>
      <c r="G81" s="8" t="s">
        <v>4</v>
      </c>
      <c r="H81" s="16">
        <v>25.0</v>
      </c>
      <c r="I81" s="17"/>
      <c r="J81" s="11">
        <f t="shared" si="1"/>
        <v>25</v>
      </c>
      <c r="K81" s="12">
        <f t="shared" si="2"/>
        <v>0</v>
      </c>
    </row>
    <row r="82">
      <c r="A82" s="6">
        <v>81.0</v>
      </c>
      <c r="B82" s="8" t="s">
        <v>44</v>
      </c>
      <c r="C82" s="21" t="s">
        <v>93</v>
      </c>
      <c r="D82" s="17"/>
      <c r="E82" s="8" t="s">
        <v>121</v>
      </c>
      <c r="F82" s="8" t="s">
        <v>57</v>
      </c>
      <c r="G82" s="8" t="s">
        <v>0</v>
      </c>
      <c r="H82" s="16">
        <v>20.0</v>
      </c>
      <c r="I82" s="17"/>
      <c r="J82" s="11">
        <f t="shared" si="1"/>
        <v>20</v>
      </c>
      <c r="K82" s="12">
        <f t="shared" si="2"/>
        <v>0</v>
      </c>
    </row>
    <row r="83">
      <c r="A83" s="6">
        <v>82.0</v>
      </c>
      <c r="B83" s="8" t="s">
        <v>44</v>
      </c>
      <c r="C83" s="21" t="s">
        <v>93</v>
      </c>
      <c r="D83" s="17"/>
      <c r="E83" s="8" t="s">
        <v>122</v>
      </c>
      <c r="F83" s="8" t="s">
        <v>57</v>
      </c>
      <c r="G83" s="8" t="s">
        <v>2</v>
      </c>
      <c r="H83" s="16">
        <v>25.0</v>
      </c>
      <c r="I83" s="17"/>
      <c r="J83" s="11">
        <f t="shared" si="1"/>
        <v>25</v>
      </c>
      <c r="K83" s="12">
        <f t="shared" si="2"/>
        <v>0</v>
      </c>
    </row>
    <row r="84">
      <c r="A84" s="6">
        <v>83.0</v>
      </c>
      <c r="B84" s="8" t="s">
        <v>44</v>
      </c>
      <c r="C84" s="21" t="s">
        <v>93</v>
      </c>
      <c r="D84" s="17"/>
      <c r="E84" s="8" t="s">
        <v>123</v>
      </c>
      <c r="F84" s="8" t="s">
        <v>57</v>
      </c>
      <c r="G84" s="8" t="s">
        <v>6</v>
      </c>
      <c r="H84" s="16">
        <v>30.0</v>
      </c>
      <c r="I84" s="17"/>
      <c r="J84" s="11">
        <f t="shared" si="1"/>
        <v>30</v>
      </c>
      <c r="K84" s="12">
        <f t="shared" si="2"/>
        <v>0</v>
      </c>
    </row>
    <row r="85">
      <c r="A85" s="6">
        <v>84.0</v>
      </c>
      <c r="B85" s="8" t="s">
        <v>44</v>
      </c>
      <c r="C85" s="21" t="s">
        <v>93</v>
      </c>
      <c r="D85" s="17"/>
      <c r="E85" s="8" t="s">
        <v>124</v>
      </c>
      <c r="F85" s="8" t="s">
        <v>105</v>
      </c>
      <c r="G85" s="8" t="s">
        <v>4</v>
      </c>
      <c r="H85" s="16">
        <v>20.0</v>
      </c>
      <c r="I85" s="17"/>
      <c r="J85" s="11">
        <f t="shared" si="1"/>
        <v>20</v>
      </c>
      <c r="K85" s="12">
        <f t="shared" si="2"/>
        <v>0</v>
      </c>
    </row>
    <row r="86">
      <c r="A86" s="6">
        <v>85.0</v>
      </c>
      <c r="B86" s="8" t="s">
        <v>44</v>
      </c>
      <c r="C86" s="21" t="s">
        <v>93</v>
      </c>
      <c r="D86" s="17"/>
      <c r="E86" s="8" t="s">
        <v>125</v>
      </c>
      <c r="F86" s="8" t="s">
        <v>108</v>
      </c>
      <c r="G86" s="8" t="s">
        <v>0</v>
      </c>
      <c r="H86" s="16">
        <v>20.0</v>
      </c>
      <c r="I86" s="17"/>
      <c r="J86" s="11">
        <f t="shared" si="1"/>
        <v>20</v>
      </c>
      <c r="K86" s="12">
        <f t="shared" si="2"/>
        <v>0</v>
      </c>
    </row>
    <row r="87">
      <c r="A87" s="6">
        <v>86.0</v>
      </c>
      <c r="B87" s="8" t="s">
        <v>19</v>
      </c>
      <c r="C87" s="21" t="s">
        <v>93</v>
      </c>
      <c r="D87" s="17"/>
      <c r="E87" s="8" t="s">
        <v>126</v>
      </c>
      <c r="F87" s="8" t="s">
        <v>23</v>
      </c>
      <c r="G87" s="8" t="s">
        <v>2</v>
      </c>
      <c r="H87" s="16">
        <v>10.0</v>
      </c>
      <c r="I87" s="17"/>
      <c r="J87" s="11">
        <f t="shared" si="1"/>
        <v>10</v>
      </c>
      <c r="K87" s="12">
        <f t="shared" si="2"/>
        <v>0</v>
      </c>
    </row>
    <row r="88">
      <c r="A88" s="6">
        <v>87.0</v>
      </c>
      <c r="B88" s="8" t="s">
        <v>19</v>
      </c>
      <c r="C88" s="21" t="s">
        <v>93</v>
      </c>
      <c r="D88" s="17"/>
      <c r="E88" s="8" t="s">
        <v>127</v>
      </c>
      <c r="F88" s="8" t="s">
        <v>105</v>
      </c>
      <c r="G88" s="8" t="s">
        <v>6</v>
      </c>
      <c r="H88" s="16">
        <v>25.0</v>
      </c>
      <c r="I88" s="17"/>
      <c r="J88" s="11">
        <f t="shared" si="1"/>
        <v>25</v>
      </c>
      <c r="K88" s="12">
        <f t="shared" si="2"/>
        <v>0</v>
      </c>
    </row>
    <row r="89">
      <c r="A89" s="6">
        <v>88.0</v>
      </c>
      <c r="B89" s="8" t="s">
        <v>19</v>
      </c>
      <c r="C89" s="21" t="s">
        <v>93</v>
      </c>
      <c r="D89" s="17"/>
      <c r="E89" s="8" t="s">
        <v>128</v>
      </c>
      <c r="F89" s="8" t="s">
        <v>105</v>
      </c>
      <c r="G89" s="8" t="s">
        <v>4</v>
      </c>
      <c r="H89" s="16">
        <v>15.0</v>
      </c>
      <c r="I89" s="17"/>
      <c r="J89" s="11">
        <f t="shared" si="1"/>
        <v>15</v>
      </c>
      <c r="K89" s="12">
        <f t="shared" si="2"/>
        <v>0</v>
      </c>
    </row>
    <row r="90">
      <c r="A90" s="6">
        <v>89.0</v>
      </c>
      <c r="B90" s="8" t="s">
        <v>19</v>
      </c>
      <c r="C90" s="21" t="s">
        <v>93</v>
      </c>
      <c r="D90" s="17"/>
      <c r="E90" s="8" t="s">
        <v>129</v>
      </c>
      <c r="F90" s="8" t="s">
        <v>105</v>
      </c>
      <c r="G90" s="8" t="s">
        <v>0</v>
      </c>
      <c r="H90" s="16">
        <v>30.0</v>
      </c>
      <c r="I90" s="17"/>
      <c r="J90" s="11">
        <f t="shared" si="1"/>
        <v>30</v>
      </c>
      <c r="K90" s="12">
        <f t="shared" si="2"/>
        <v>0</v>
      </c>
    </row>
    <row r="91">
      <c r="A91" s="6">
        <v>90.0</v>
      </c>
      <c r="B91" s="8" t="s">
        <v>19</v>
      </c>
      <c r="C91" s="21" t="s">
        <v>93</v>
      </c>
      <c r="D91" s="17"/>
      <c r="E91" s="8" t="s">
        <v>130</v>
      </c>
      <c r="F91" s="8" t="s">
        <v>108</v>
      </c>
      <c r="G91" s="8" t="s">
        <v>2</v>
      </c>
      <c r="H91" s="16">
        <v>20.0</v>
      </c>
      <c r="I91" s="17"/>
      <c r="J91" s="11">
        <f t="shared" si="1"/>
        <v>20</v>
      </c>
      <c r="K91" s="12">
        <f t="shared" si="2"/>
        <v>0</v>
      </c>
    </row>
    <row r="92">
      <c r="A92" s="6">
        <v>91.0</v>
      </c>
      <c r="B92" s="8" t="s">
        <v>44</v>
      </c>
      <c r="C92" s="21" t="s">
        <v>93</v>
      </c>
      <c r="D92" s="17"/>
      <c r="E92" s="8" t="s">
        <v>131</v>
      </c>
      <c r="F92" s="8" t="s">
        <v>57</v>
      </c>
      <c r="G92" s="8" t="s">
        <v>6</v>
      </c>
      <c r="H92" s="16">
        <v>20.0</v>
      </c>
      <c r="I92" s="17"/>
      <c r="J92" s="11">
        <f t="shared" si="1"/>
        <v>20</v>
      </c>
      <c r="K92" s="12">
        <f t="shared" si="2"/>
        <v>0</v>
      </c>
    </row>
    <row r="93">
      <c r="A93" s="6">
        <v>92.0</v>
      </c>
      <c r="B93" s="8" t="s">
        <v>44</v>
      </c>
      <c r="C93" s="21" t="s">
        <v>93</v>
      </c>
      <c r="D93" s="17"/>
      <c r="E93" s="8" t="s">
        <v>132</v>
      </c>
      <c r="F93" s="8" t="s">
        <v>57</v>
      </c>
      <c r="G93" s="8" t="s">
        <v>4</v>
      </c>
      <c r="H93" s="16">
        <v>10.0</v>
      </c>
      <c r="I93" s="17"/>
      <c r="J93" s="11">
        <f t="shared" si="1"/>
        <v>10</v>
      </c>
      <c r="K93" s="12">
        <f t="shared" si="2"/>
        <v>0</v>
      </c>
    </row>
    <row r="94">
      <c r="A94" s="6">
        <v>93.0</v>
      </c>
      <c r="B94" s="8" t="s">
        <v>44</v>
      </c>
      <c r="C94" s="21" t="s">
        <v>93</v>
      </c>
      <c r="D94" s="17"/>
      <c r="E94" s="8" t="s">
        <v>133</v>
      </c>
      <c r="F94" s="8" t="s">
        <v>57</v>
      </c>
      <c r="G94" s="8" t="s">
        <v>0</v>
      </c>
      <c r="H94" s="16">
        <v>15.0</v>
      </c>
      <c r="I94" s="17"/>
      <c r="J94" s="11">
        <f t="shared" si="1"/>
        <v>15</v>
      </c>
      <c r="K94" s="12">
        <f t="shared" si="2"/>
        <v>0</v>
      </c>
    </row>
    <row r="95">
      <c r="A95" s="6">
        <v>94.0</v>
      </c>
      <c r="B95" s="8" t="s">
        <v>44</v>
      </c>
      <c r="C95" s="21" t="s">
        <v>93</v>
      </c>
      <c r="D95" s="17"/>
      <c r="E95" s="8" t="s">
        <v>134</v>
      </c>
      <c r="F95" s="8" t="s">
        <v>57</v>
      </c>
      <c r="G95" s="8" t="s">
        <v>2</v>
      </c>
      <c r="H95" s="16">
        <v>10.0</v>
      </c>
      <c r="I95" s="17"/>
      <c r="J95" s="11">
        <f t="shared" si="1"/>
        <v>10</v>
      </c>
      <c r="K95" s="12">
        <f t="shared" si="2"/>
        <v>0</v>
      </c>
    </row>
    <row r="96">
      <c r="A96" s="6">
        <v>95.0</v>
      </c>
      <c r="B96" s="8" t="s">
        <v>44</v>
      </c>
      <c r="C96" s="21" t="s">
        <v>93</v>
      </c>
      <c r="D96" s="17"/>
      <c r="E96" s="8" t="s">
        <v>135</v>
      </c>
      <c r="F96" s="8" t="s">
        <v>108</v>
      </c>
      <c r="G96" s="8" t="s">
        <v>6</v>
      </c>
      <c r="H96" s="16">
        <v>15.0</v>
      </c>
      <c r="I96" s="17"/>
      <c r="J96" s="11">
        <f t="shared" si="1"/>
        <v>15</v>
      </c>
      <c r="K96" s="12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2">
      <c r="A12" s="25" t="s">
        <v>18</v>
      </c>
      <c r="B12" s="26">
        <f>avancement!D2</f>
        <v>0.6364672365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</cols>
  <sheetData>
    <row r="1">
      <c r="A1" s="27" t="s">
        <v>140</v>
      </c>
      <c r="B1" s="27" t="s">
        <v>141</v>
      </c>
      <c r="C1" s="27" t="s">
        <v>142</v>
      </c>
      <c r="D1" s="27" t="s">
        <v>143</v>
      </c>
      <c r="E1" s="27" t="s">
        <v>144</v>
      </c>
    </row>
    <row r="2">
      <c r="A2" s="28">
        <f>SUM('liste des taches'!H:H)</f>
        <v>1755</v>
      </c>
      <c r="B2" s="28">
        <f>SUM('liste des taches'!I:I)</f>
        <v>1117</v>
      </c>
      <c r="C2" s="28">
        <f>SUM('liste des taches'!J:J)</f>
        <v>638</v>
      </c>
      <c r="D2" s="29">
        <f>(B2/(B2+C2))</f>
        <v>0.6364672365</v>
      </c>
      <c r="E2" s="30">
        <f>((B2+C2)-A2)/A2</f>
        <v>0</v>
      </c>
    </row>
    <row r="3">
      <c r="A3" s="31"/>
      <c r="B3" s="31"/>
      <c r="C3" s="28">
        <f>C2/60</f>
        <v>10.63333333</v>
      </c>
      <c r="D3" s="31" t="s">
        <v>145</v>
      </c>
      <c r="E3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4" t="s">
        <v>8</v>
      </c>
      <c r="B1" s="5" t="s">
        <v>15</v>
      </c>
      <c r="C1" s="32">
        <v>46042.0</v>
      </c>
      <c r="D1" s="32">
        <v>46048.0</v>
      </c>
      <c r="E1" s="33">
        <v>46050.0</v>
      </c>
      <c r="F1" s="34">
        <v>46056.0</v>
      </c>
    </row>
    <row r="2">
      <c r="A2" s="6">
        <v>1.0</v>
      </c>
      <c r="B2" s="10">
        <v>15.0</v>
      </c>
      <c r="C2" s="10">
        <v>15.0</v>
      </c>
      <c r="D2" s="35"/>
      <c r="E2" s="36"/>
      <c r="F2" s="37"/>
    </row>
    <row r="3">
      <c r="A3" s="6">
        <v>2.0</v>
      </c>
      <c r="B3" s="13">
        <v>15.0</v>
      </c>
      <c r="C3" s="13">
        <v>15.0</v>
      </c>
      <c r="D3" s="36"/>
      <c r="E3" s="36"/>
      <c r="F3" s="37"/>
    </row>
    <row r="4">
      <c r="A4" s="6">
        <v>3.0</v>
      </c>
      <c r="B4" s="13">
        <v>20.0</v>
      </c>
      <c r="C4" s="13">
        <v>20.0</v>
      </c>
      <c r="D4" s="35"/>
      <c r="E4" s="36"/>
      <c r="F4" s="37"/>
    </row>
    <row r="5">
      <c r="A5" s="6">
        <v>4.0</v>
      </c>
      <c r="B5" s="13">
        <v>20.0</v>
      </c>
      <c r="C5" s="13">
        <v>20.0</v>
      </c>
      <c r="D5" s="36"/>
      <c r="E5" s="36"/>
      <c r="F5" s="37"/>
    </row>
    <row r="6">
      <c r="A6" s="6">
        <v>5.0</v>
      </c>
      <c r="B6" s="13">
        <v>20.0</v>
      </c>
      <c r="C6" s="13">
        <v>20.0</v>
      </c>
      <c r="D6" s="23"/>
      <c r="E6" s="36"/>
      <c r="F6" s="37"/>
    </row>
    <row r="7">
      <c r="A7" s="6">
        <v>6.0</v>
      </c>
      <c r="B7" s="13">
        <v>20.0</v>
      </c>
      <c r="C7" s="13">
        <v>20.0</v>
      </c>
      <c r="D7" s="36"/>
      <c r="E7" s="36"/>
      <c r="F7" s="37"/>
    </row>
    <row r="8">
      <c r="A8" s="6">
        <v>7.0</v>
      </c>
      <c r="B8" s="13">
        <v>25.0</v>
      </c>
      <c r="C8" s="13">
        <v>25.0</v>
      </c>
      <c r="D8" s="23"/>
      <c r="E8" s="36"/>
      <c r="F8" s="37"/>
    </row>
    <row r="9">
      <c r="A9" s="6">
        <v>8.0</v>
      </c>
      <c r="B9" s="13">
        <v>10.0</v>
      </c>
      <c r="C9" s="13">
        <v>10.0</v>
      </c>
      <c r="D9" s="37"/>
      <c r="E9" s="37"/>
      <c r="F9" s="37"/>
    </row>
    <row r="10">
      <c r="A10" s="6">
        <v>9.0</v>
      </c>
      <c r="B10" s="13">
        <v>20.0</v>
      </c>
      <c r="C10" s="13">
        <v>20.0</v>
      </c>
      <c r="D10" s="37"/>
      <c r="E10" s="37"/>
      <c r="F10" s="37"/>
    </row>
    <row r="11">
      <c r="A11" s="21">
        <v>10.0</v>
      </c>
      <c r="B11" s="16">
        <v>15.0</v>
      </c>
      <c r="C11" s="16">
        <v>15.0</v>
      </c>
      <c r="D11" s="37"/>
      <c r="E11" s="37"/>
      <c r="F11" s="37"/>
    </row>
    <row r="12">
      <c r="A12" s="21">
        <v>11.0</v>
      </c>
      <c r="B12" s="16">
        <v>20.0</v>
      </c>
      <c r="C12" s="16">
        <v>20.0</v>
      </c>
      <c r="D12" s="37"/>
      <c r="E12" s="37"/>
      <c r="F12" s="37"/>
    </row>
    <row r="13">
      <c r="A13" s="21">
        <v>12.0</v>
      </c>
      <c r="B13" s="16">
        <v>20.0</v>
      </c>
      <c r="C13" s="16">
        <v>20.0</v>
      </c>
      <c r="D13" s="37"/>
      <c r="E13" s="37"/>
      <c r="F13" s="37"/>
    </row>
    <row r="14">
      <c r="A14" s="21">
        <v>13.0</v>
      </c>
      <c r="B14" s="16">
        <v>15.0</v>
      </c>
      <c r="C14" s="16">
        <v>15.0</v>
      </c>
      <c r="D14" s="37"/>
      <c r="E14" s="37"/>
      <c r="F14" s="37"/>
    </row>
    <row r="15">
      <c r="A15" s="21">
        <v>14.0</v>
      </c>
      <c r="B15" s="16">
        <v>15.0</v>
      </c>
      <c r="C15" s="16">
        <v>15.0</v>
      </c>
      <c r="D15" s="37"/>
      <c r="E15" s="37"/>
      <c r="F15" s="37"/>
    </row>
    <row r="16">
      <c r="A16" s="21">
        <v>15.0</v>
      </c>
      <c r="B16" s="16">
        <v>15.0</v>
      </c>
      <c r="C16" s="16">
        <v>15.0</v>
      </c>
      <c r="D16" s="37"/>
      <c r="E16" s="37"/>
      <c r="F16" s="37"/>
    </row>
    <row r="17">
      <c r="A17" s="21">
        <v>16.0</v>
      </c>
      <c r="B17" s="16">
        <v>15.0</v>
      </c>
      <c r="C17" s="16">
        <v>15.0</v>
      </c>
      <c r="D17" s="37"/>
      <c r="E17" s="37"/>
      <c r="F17" s="37"/>
    </row>
    <row r="18">
      <c r="A18" s="21">
        <v>17.0</v>
      </c>
      <c r="B18" s="16">
        <v>15.0</v>
      </c>
      <c r="C18" s="16">
        <v>15.0</v>
      </c>
      <c r="D18" s="37"/>
      <c r="E18" s="37"/>
      <c r="F18" s="37"/>
    </row>
    <row r="19">
      <c r="A19" s="21">
        <v>18.0</v>
      </c>
      <c r="B19" s="16">
        <v>15.0</v>
      </c>
      <c r="C19" s="16">
        <v>15.0</v>
      </c>
      <c r="D19" s="37"/>
      <c r="E19" s="37"/>
      <c r="F19" s="37"/>
    </row>
    <row r="20">
      <c r="A20" s="21">
        <v>19.0</v>
      </c>
      <c r="B20" s="16">
        <v>25.0</v>
      </c>
      <c r="C20" s="16">
        <v>25.0</v>
      </c>
      <c r="D20" s="37"/>
      <c r="E20" s="37"/>
      <c r="F20" s="37"/>
    </row>
    <row r="21">
      <c r="A21" s="21">
        <v>20.0</v>
      </c>
      <c r="B21" s="16">
        <v>10.0</v>
      </c>
      <c r="C21" s="37"/>
      <c r="D21" s="16">
        <v>10.0</v>
      </c>
      <c r="E21" s="37"/>
      <c r="F21" s="37"/>
    </row>
    <row r="22">
      <c r="A22" s="21">
        <v>21.0</v>
      </c>
      <c r="B22" s="16">
        <v>15.0</v>
      </c>
      <c r="C22" s="37"/>
      <c r="D22" s="16">
        <v>15.0</v>
      </c>
      <c r="E22" s="37"/>
      <c r="F22" s="37"/>
    </row>
    <row r="23">
      <c r="A23" s="21">
        <v>22.0</v>
      </c>
      <c r="B23" s="16">
        <v>20.0</v>
      </c>
      <c r="C23" s="37"/>
      <c r="D23" s="16">
        <v>20.0</v>
      </c>
      <c r="E23" s="37"/>
      <c r="F23" s="37"/>
    </row>
    <row r="24">
      <c r="A24" s="21">
        <v>23.0</v>
      </c>
      <c r="B24" s="16">
        <v>10.0</v>
      </c>
      <c r="C24" s="37"/>
      <c r="D24" s="16">
        <v>10.0</v>
      </c>
      <c r="E24" s="37"/>
      <c r="F24" s="37"/>
    </row>
    <row r="25">
      <c r="A25" s="21">
        <v>24.0</v>
      </c>
      <c r="B25" s="16">
        <v>10.0</v>
      </c>
      <c r="C25" s="37"/>
      <c r="D25" s="16">
        <v>10.0</v>
      </c>
      <c r="E25" s="37"/>
      <c r="F25" s="37"/>
    </row>
    <row r="26">
      <c r="A26" s="21">
        <v>25.0</v>
      </c>
      <c r="B26" s="16">
        <v>10.0</v>
      </c>
      <c r="C26" s="37"/>
      <c r="D26" s="16">
        <v>10.0</v>
      </c>
      <c r="E26" s="37"/>
      <c r="F26" s="37"/>
    </row>
    <row r="27">
      <c r="A27" s="21">
        <v>26.0</v>
      </c>
      <c r="B27" s="16">
        <v>25.0</v>
      </c>
      <c r="C27" s="37"/>
      <c r="D27" s="16">
        <v>25.0</v>
      </c>
      <c r="E27" s="37"/>
      <c r="F27" s="37"/>
    </row>
    <row r="28">
      <c r="A28" s="21">
        <v>27.0</v>
      </c>
      <c r="B28" s="16">
        <v>10.0</v>
      </c>
      <c r="C28" s="37"/>
      <c r="D28" s="16">
        <v>10.0</v>
      </c>
      <c r="E28" s="37"/>
      <c r="F28" s="37"/>
    </row>
    <row r="29">
      <c r="A29" s="21">
        <v>28.0</v>
      </c>
      <c r="B29" s="16">
        <v>10.0</v>
      </c>
      <c r="C29" s="37"/>
      <c r="D29" s="16">
        <v>10.0</v>
      </c>
      <c r="E29" s="37"/>
      <c r="F29" s="37"/>
    </row>
    <row r="30">
      <c r="A30" s="21">
        <v>29.0</v>
      </c>
      <c r="B30" s="16">
        <v>10.0</v>
      </c>
      <c r="C30" s="37"/>
      <c r="D30" s="16">
        <v>10.0</v>
      </c>
      <c r="E30" s="37"/>
      <c r="F30" s="37"/>
    </row>
    <row r="31">
      <c r="A31" s="21">
        <v>30.0</v>
      </c>
      <c r="B31" s="16">
        <v>15.0</v>
      </c>
      <c r="C31" s="37"/>
      <c r="D31" s="16">
        <v>15.0</v>
      </c>
      <c r="E31" s="37"/>
      <c r="F31" s="37"/>
    </row>
    <row r="32">
      <c r="A32" s="21">
        <v>31.0</v>
      </c>
      <c r="B32" s="16">
        <v>10.0</v>
      </c>
      <c r="C32" s="37"/>
      <c r="D32" s="16">
        <v>10.0</v>
      </c>
      <c r="E32" s="37"/>
      <c r="F32" s="37"/>
    </row>
    <row r="33">
      <c r="A33" s="21">
        <v>32.0</v>
      </c>
      <c r="B33" s="16">
        <v>10.0</v>
      </c>
      <c r="C33" s="37"/>
      <c r="D33" s="16">
        <v>10.0</v>
      </c>
      <c r="E33" s="37"/>
      <c r="F33" s="37"/>
    </row>
    <row r="34">
      <c r="A34" s="21">
        <v>33.0</v>
      </c>
      <c r="B34" s="16">
        <v>15.0</v>
      </c>
      <c r="C34" s="37"/>
      <c r="D34" s="16">
        <v>15.0</v>
      </c>
      <c r="E34" s="37"/>
      <c r="F34" s="37"/>
    </row>
    <row r="35">
      <c r="A35" s="21">
        <v>34.0</v>
      </c>
      <c r="B35" s="16">
        <v>15.0</v>
      </c>
      <c r="C35" s="37"/>
      <c r="D35" s="16">
        <v>15.0</v>
      </c>
      <c r="E35" s="37"/>
      <c r="F35" s="37"/>
    </row>
    <row r="36">
      <c r="A36" s="21">
        <v>35.0</v>
      </c>
      <c r="B36" s="16">
        <v>30.0</v>
      </c>
      <c r="C36" s="37"/>
      <c r="D36" s="16">
        <v>30.0</v>
      </c>
      <c r="E36" s="37"/>
      <c r="F36" s="37"/>
    </row>
    <row r="37">
      <c r="A37" s="21">
        <v>36.0</v>
      </c>
      <c r="B37" s="16">
        <v>15.0</v>
      </c>
      <c r="C37" s="37"/>
      <c r="D37" s="16">
        <v>15.0</v>
      </c>
      <c r="E37" s="37"/>
      <c r="F37" s="37"/>
    </row>
    <row r="38">
      <c r="A38" s="21">
        <v>37.0</v>
      </c>
      <c r="B38" s="16">
        <v>30.0</v>
      </c>
      <c r="C38" s="37"/>
      <c r="D38" s="16">
        <v>30.0</v>
      </c>
      <c r="E38" s="37"/>
      <c r="F38" s="37"/>
    </row>
    <row r="39">
      <c r="A39" s="21">
        <v>38.0</v>
      </c>
      <c r="B39" s="16">
        <v>20.0</v>
      </c>
      <c r="C39" s="37"/>
      <c r="D39" s="37"/>
      <c r="E39" s="16">
        <v>30.0</v>
      </c>
      <c r="F39" s="37"/>
    </row>
    <row r="40">
      <c r="A40" s="21">
        <v>39.0</v>
      </c>
      <c r="B40" s="16">
        <v>15.0</v>
      </c>
      <c r="C40" s="37"/>
      <c r="D40" s="37"/>
      <c r="E40" s="16">
        <v>20.0</v>
      </c>
      <c r="F40" s="37"/>
    </row>
    <row r="41">
      <c r="A41" s="21">
        <v>40.0</v>
      </c>
      <c r="B41" s="16">
        <v>20.0</v>
      </c>
      <c r="C41" s="37"/>
      <c r="D41" s="37"/>
      <c r="E41" s="16">
        <v>15.0</v>
      </c>
      <c r="F41" s="37"/>
    </row>
    <row r="42">
      <c r="A42" s="21">
        <v>41.0</v>
      </c>
      <c r="B42" s="16">
        <v>20.0</v>
      </c>
      <c r="C42" s="37"/>
      <c r="D42" s="37"/>
      <c r="E42" s="16">
        <v>20.0</v>
      </c>
      <c r="F42" s="37"/>
    </row>
    <row r="43">
      <c r="A43" s="21">
        <v>42.0</v>
      </c>
      <c r="B43" s="16">
        <v>20.0</v>
      </c>
      <c r="C43" s="37"/>
      <c r="D43" s="37"/>
      <c r="E43" s="16">
        <v>20.0</v>
      </c>
      <c r="F43" s="37"/>
    </row>
    <row r="44">
      <c r="A44" s="21">
        <v>43.0</v>
      </c>
      <c r="B44" s="16">
        <v>10.0</v>
      </c>
      <c r="C44" s="37"/>
      <c r="D44" s="37"/>
      <c r="E44" s="16">
        <v>20.0</v>
      </c>
      <c r="F44" s="37"/>
    </row>
    <row r="45">
      <c r="A45" s="21">
        <v>44.0</v>
      </c>
      <c r="B45" s="16">
        <v>10.0</v>
      </c>
      <c r="C45" s="37"/>
      <c r="D45" s="37"/>
      <c r="E45" s="16">
        <v>10.0</v>
      </c>
      <c r="F45" s="37"/>
    </row>
    <row r="46">
      <c r="A46" s="21">
        <v>45.0</v>
      </c>
      <c r="B46" s="16">
        <v>15.0</v>
      </c>
      <c r="C46" s="37"/>
      <c r="D46" s="37"/>
      <c r="E46" s="16">
        <v>10.0</v>
      </c>
      <c r="F46" s="37"/>
    </row>
    <row r="47">
      <c r="A47" s="21">
        <v>46.0</v>
      </c>
      <c r="B47" s="16">
        <v>40.0</v>
      </c>
      <c r="C47" s="37"/>
      <c r="D47" s="37"/>
      <c r="E47" s="16">
        <v>15.0</v>
      </c>
      <c r="F47" s="37"/>
    </row>
    <row r="48">
      <c r="A48" s="21">
        <v>47.0</v>
      </c>
      <c r="B48" s="16">
        <v>30.0</v>
      </c>
      <c r="C48" s="37"/>
      <c r="D48" s="37"/>
      <c r="E48" s="16">
        <v>40.0</v>
      </c>
      <c r="F48" s="37"/>
    </row>
    <row r="49">
      <c r="A49" s="21">
        <v>48.0</v>
      </c>
      <c r="B49" s="16">
        <v>10.0</v>
      </c>
      <c r="C49" s="37"/>
      <c r="D49" s="37"/>
      <c r="E49" s="16">
        <v>30.0</v>
      </c>
      <c r="F49" s="37"/>
    </row>
    <row r="50">
      <c r="A50" s="21">
        <v>49.0</v>
      </c>
      <c r="B50" s="16">
        <v>10.0</v>
      </c>
      <c r="C50" s="37"/>
      <c r="D50" s="37"/>
      <c r="E50" s="16">
        <v>10.0</v>
      </c>
      <c r="F50" s="37"/>
    </row>
    <row r="51">
      <c r="A51" s="21">
        <v>50.0</v>
      </c>
      <c r="B51" s="16">
        <v>15.0</v>
      </c>
      <c r="C51" s="37"/>
      <c r="D51" s="37"/>
      <c r="E51" s="16">
        <v>10.0</v>
      </c>
      <c r="F51" s="37"/>
    </row>
    <row r="52">
      <c r="A52" s="21">
        <v>51.0</v>
      </c>
      <c r="B52" s="16">
        <v>30.0</v>
      </c>
      <c r="C52" s="37"/>
      <c r="D52" s="37"/>
      <c r="E52" s="16">
        <v>15.0</v>
      </c>
      <c r="F52" s="11">
        <v>30.0</v>
      </c>
    </row>
    <row r="53">
      <c r="A53" s="21">
        <v>52.0</v>
      </c>
      <c r="B53" s="22">
        <v>15.0</v>
      </c>
      <c r="C53" s="37"/>
      <c r="D53" s="37"/>
      <c r="E53" s="16">
        <v>30.0</v>
      </c>
      <c r="F53" s="20">
        <v>30.0</v>
      </c>
    </row>
    <row r="54">
      <c r="A54" s="21">
        <v>53.0</v>
      </c>
      <c r="B54" s="16">
        <v>15.0</v>
      </c>
      <c r="C54" s="37"/>
      <c r="D54" s="37"/>
      <c r="E54" s="22"/>
      <c r="F54" s="20">
        <v>30.0</v>
      </c>
    </row>
    <row r="55">
      <c r="A55" s="21">
        <v>54.0</v>
      </c>
      <c r="B55" s="16">
        <v>15.0</v>
      </c>
      <c r="C55" s="37"/>
      <c r="D55" s="37"/>
      <c r="E55" s="16"/>
      <c r="F55" s="11">
        <v>15.0</v>
      </c>
    </row>
    <row r="56">
      <c r="A56" s="21">
        <v>55.0</v>
      </c>
      <c r="B56" s="16">
        <v>20.0</v>
      </c>
      <c r="C56" s="37"/>
      <c r="D56" s="37"/>
      <c r="E56" s="16"/>
      <c r="F56" s="20">
        <v>15.0</v>
      </c>
    </row>
    <row r="57">
      <c r="A57" s="21">
        <v>56.0</v>
      </c>
      <c r="B57" s="16">
        <v>15.0</v>
      </c>
      <c r="C57" s="37"/>
      <c r="D57" s="37"/>
      <c r="E57" s="16"/>
      <c r="F57" s="20">
        <v>30.0</v>
      </c>
    </row>
    <row r="58">
      <c r="A58" s="21">
        <v>57.0</v>
      </c>
      <c r="B58" s="16">
        <v>20.0</v>
      </c>
      <c r="C58" s="37"/>
      <c r="D58" s="37"/>
      <c r="E58" s="11">
        <v>15.0</v>
      </c>
      <c r="F58" s="11"/>
    </row>
    <row r="59">
      <c r="A59" s="21">
        <v>58.0</v>
      </c>
      <c r="B59" s="16">
        <v>20.0</v>
      </c>
      <c r="C59" s="37"/>
      <c r="D59" s="37"/>
      <c r="E59" s="11">
        <v>15.0</v>
      </c>
      <c r="F59" s="20"/>
    </row>
    <row r="60">
      <c r="A60" s="21">
        <v>59.0</v>
      </c>
      <c r="B60" s="16">
        <v>25.0</v>
      </c>
      <c r="C60" s="37"/>
      <c r="D60" s="37"/>
      <c r="E60" s="11">
        <v>20.0</v>
      </c>
      <c r="F60" s="20"/>
    </row>
    <row r="61">
      <c r="A61" s="21">
        <v>60.0</v>
      </c>
      <c r="B61" s="16">
        <v>25.0</v>
      </c>
      <c r="C61" s="37"/>
      <c r="D61" s="37"/>
      <c r="E61" s="11">
        <v>15.0</v>
      </c>
      <c r="F61" s="37"/>
    </row>
    <row r="62">
      <c r="A62" s="21">
        <v>61.0</v>
      </c>
      <c r="B62" s="16">
        <v>20.0</v>
      </c>
      <c r="C62" s="37"/>
      <c r="D62" s="37"/>
      <c r="E62" s="37"/>
      <c r="F62" s="37"/>
    </row>
    <row r="63">
      <c r="A63" s="21">
        <v>62.0</v>
      </c>
      <c r="B63" s="16">
        <v>20.0</v>
      </c>
      <c r="C63" s="37"/>
      <c r="D63" s="37"/>
      <c r="E63" s="37"/>
      <c r="F63" s="37"/>
    </row>
    <row r="64">
      <c r="A64" s="21">
        <v>63.0</v>
      </c>
      <c r="B64" s="16">
        <v>15.0</v>
      </c>
      <c r="C64" s="37"/>
      <c r="D64" s="37"/>
      <c r="E64" s="37"/>
      <c r="F64" s="37"/>
    </row>
    <row r="65">
      <c r="A65" s="21">
        <v>64.0</v>
      </c>
      <c r="B65" s="16">
        <v>15.0</v>
      </c>
      <c r="C65" s="37"/>
      <c r="D65" s="37"/>
      <c r="E65" s="37"/>
      <c r="F65" s="37"/>
    </row>
    <row r="66">
      <c r="A66" s="21">
        <v>65.0</v>
      </c>
      <c r="B66" s="16">
        <v>20.0</v>
      </c>
      <c r="C66" s="37"/>
      <c r="D66" s="37"/>
      <c r="E66" s="37"/>
      <c r="F66" s="37"/>
    </row>
    <row r="67">
      <c r="A67" s="21">
        <v>66.0</v>
      </c>
      <c r="B67" s="16">
        <v>20.0</v>
      </c>
      <c r="C67" s="37"/>
      <c r="D67" s="37"/>
      <c r="E67" s="37"/>
      <c r="F67" s="37"/>
    </row>
    <row r="68">
      <c r="A68" s="21">
        <v>67.0</v>
      </c>
      <c r="B68" s="16">
        <v>15.0</v>
      </c>
      <c r="C68" s="37"/>
      <c r="D68" s="37"/>
      <c r="E68" s="37"/>
      <c r="F68" s="37"/>
    </row>
    <row r="69">
      <c r="A69" s="21">
        <v>68.0</v>
      </c>
      <c r="B69" s="16">
        <v>25.0</v>
      </c>
      <c r="C69" s="37"/>
      <c r="D69" s="37"/>
      <c r="E69" s="37"/>
      <c r="F69" s="37"/>
    </row>
    <row r="70">
      <c r="A70" s="21">
        <v>69.0</v>
      </c>
      <c r="B70" s="16">
        <v>20.0</v>
      </c>
      <c r="C70" s="37"/>
      <c r="D70" s="37"/>
      <c r="E70" s="37"/>
      <c r="F70" s="37"/>
    </row>
    <row r="71">
      <c r="A71" s="21">
        <v>70.0</v>
      </c>
      <c r="B71" s="16">
        <v>15.0</v>
      </c>
      <c r="C71" s="37"/>
      <c r="D71" s="37"/>
      <c r="E71" s="37"/>
      <c r="F71" s="37"/>
    </row>
    <row r="72">
      <c r="A72" s="21">
        <v>71.0</v>
      </c>
      <c r="B72" s="16">
        <v>25.0</v>
      </c>
      <c r="C72" s="37"/>
      <c r="D72" s="37"/>
      <c r="E72" s="37"/>
      <c r="F72" s="37"/>
    </row>
    <row r="73">
      <c r="A73" s="21">
        <v>72.0</v>
      </c>
      <c r="B73" s="16">
        <v>20.0</v>
      </c>
      <c r="C73" s="37"/>
      <c r="D73" s="37"/>
      <c r="E73" s="37"/>
      <c r="F73" s="37"/>
    </row>
    <row r="74">
      <c r="A74" s="21">
        <v>73.0</v>
      </c>
      <c r="B74" s="16">
        <v>20.0</v>
      </c>
      <c r="C74" s="37"/>
      <c r="D74" s="37"/>
      <c r="E74" s="37"/>
      <c r="F74" s="37"/>
    </row>
    <row r="75">
      <c r="A75" s="21">
        <v>74.0</v>
      </c>
      <c r="B75" s="16">
        <v>20.0</v>
      </c>
      <c r="C75" s="37"/>
      <c r="D75" s="37"/>
      <c r="E75" s="37"/>
      <c r="F75" s="37"/>
    </row>
    <row r="76">
      <c r="A76" s="21">
        <v>75.0</v>
      </c>
      <c r="B76" s="16">
        <v>25.0</v>
      </c>
      <c r="C76" s="37"/>
      <c r="D76" s="37"/>
      <c r="E76" s="37"/>
      <c r="F76" s="37"/>
    </row>
    <row r="77">
      <c r="A77" s="21">
        <v>76.0</v>
      </c>
      <c r="B77" s="16">
        <v>20.0</v>
      </c>
      <c r="C77" s="37"/>
      <c r="D77" s="37"/>
      <c r="E77" s="37"/>
      <c r="F77" s="37"/>
    </row>
    <row r="78">
      <c r="A78" s="21">
        <v>77.0</v>
      </c>
      <c r="B78" s="16">
        <v>25.0</v>
      </c>
      <c r="C78" s="37"/>
      <c r="D78" s="37"/>
      <c r="E78" s="37"/>
      <c r="F78" s="37"/>
    </row>
    <row r="79">
      <c r="A79" s="21">
        <v>78.0</v>
      </c>
      <c r="B79" s="16">
        <v>30.0</v>
      </c>
      <c r="C79" s="37"/>
      <c r="D79" s="37"/>
      <c r="E79" s="37"/>
      <c r="F79" s="37"/>
    </row>
    <row r="80">
      <c r="A80" s="21">
        <v>79.0</v>
      </c>
      <c r="B80" s="16">
        <v>20.0</v>
      </c>
      <c r="C80" s="37"/>
      <c r="D80" s="37"/>
      <c r="E80" s="37"/>
      <c r="F80" s="37"/>
    </row>
    <row r="81">
      <c r="A81" s="21">
        <v>80.0</v>
      </c>
      <c r="B81" s="16">
        <v>20.0</v>
      </c>
      <c r="C81" s="37"/>
      <c r="D81" s="37"/>
      <c r="E81" s="37"/>
      <c r="F81" s="37"/>
    </row>
    <row r="82">
      <c r="A82" s="21">
        <v>81.0</v>
      </c>
      <c r="B82" s="16">
        <v>10.0</v>
      </c>
      <c r="C82" s="37"/>
      <c r="D82" s="37"/>
      <c r="E82" s="37"/>
      <c r="F82" s="37"/>
    </row>
    <row r="83">
      <c r="A83" s="21">
        <v>82.0</v>
      </c>
      <c r="B83" s="16">
        <v>25.0</v>
      </c>
      <c r="C83" s="37"/>
      <c r="D83" s="37"/>
      <c r="E83" s="37"/>
      <c r="F83" s="37"/>
    </row>
    <row r="84">
      <c r="A84" s="21">
        <v>83.0</v>
      </c>
      <c r="B84" s="16">
        <v>15.0</v>
      </c>
      <c r="C84" s="37"/>
      <c r="D84" s="37"/>
      <c r="E84" s="37"/>
      <c r="F84" s="37"/>
    </row>
    <row r="85">
      <c r="A85" s="21">
        <v>84.0</v>
      </c>
      <c r="B85" s="16">
        <v>30.0</v>
      </c>
      <c r="C85" s="37"/>
      <c r="D85" s="37"/>
      <c r="E85" s="37"/>
      <c r="F85" s="37"/>
    </row>
    <row r="86">
      <c r="A86" s="21">
        <v>85.0</v>
      </c>
      <c r="B86" s="16">
        <v>20.0</v>
      </c>
      <c r="C86" s="37"/>
      <c r="D86" s="37"/>
      <c r="E86" s="37"/>
      <c r="F86" s="37"/>
    </row>
    <row r="87">
      <c r="A87" s="21">
        <v>86.0</v>
      </c>
      <c r="B87" s="16">
        <v>20.0</v>
      </c>
      <c r="C87" s="37"/>
      <c r="D87" s="37"/>
      <c r="E87" s="37"/>
      <c r="F87" s="37"/>
    </row>
    <row r="88">
      <c r="A88" s="21">
        <v>87.0</v>
      </c>
      <c r="B88" s="16">
        <v>10.0</v>
      </c>
      <c r="C88" s="37"/>
      <c r="D88" s="37"/>
      <c r="E88" s="37"/>
      <c r="F88" s="37"/>
    </row>
    <row r="89">
      <c r="A89" s="21">
        <v>88.0</v>
      </c>
      <c r="B89" s="16">
        <v>15.0</v>
      </c>
      <c r="C89" s="37"/>
      <c r="D89" s="37"/>
      <c r="E89" s="37"/>
      <c r="F89" s="37"/>
    </row>
    <row r="90">
      <c r="A90" s="21">
        <v>89.0</v>
      </c>
      <c r="B90" s="16">
        <v>10.0</v>
      </c>
      <c r="C90" s="37"/>
      <c r="D90" s="37"/>
      <c r="E90" s="37"/>
      <c r="F90" s="37"/>
    </row>
    <row r="91">
      <c r="A91" s="21">
        <v>90.0</v>
      </c>
      <c r="B91" s="16">
        <v>15.0</v>
      </c>
      <c r="C91" s="37"/>
      <c r="D91" s="37"/>
      <c r="E91" s="37"/>
      <c r="F91" s="37"/>
    </row>
    <row r="92">
      <c r="A92" s="21">
        <v>91.0</v>
      </c>
      <c r="B92" s="37"/>
      <c r="C92" s="37"/>
      <c r="D92" s="37"/>
      <c r="E92" s="37"/>
      <c r="F92" s="37"/>
    </row>
    <row r="93">
      <c r="A93" s="21">
        <v>92.0</v>
      </c>
      <c r="B93" s="37"/>
      <c r="C93" s="37"/>
      <c r="D93" s="37"/>
      <c r="E93" s="37"/>
      <c r="F93" s="37"/>
    </row>
    <row r="94">
      <c r="A94" s="21">
        <v>93.0</v>
      </c>
      <c r="B94" s="37"/>
      <c r="C94" s="37"/>
      <c r="D94" s="37"/>
      <c r="E94" s="37"/>
      <c r="F94" s="37"/>
    </row>
    <row r="95">
      <c r="A95" s="21">
        <v>94.0</v>
      </c>
      <c r="B95" s="37"/>
      <c r="C95" s="37"/>
      <c r="D95" s="37"/>
      <c r="E95" s="37"/>
      <c r="F95" s="37"/>
    </row>
    <row r="96">
      <c r="A96" s="21">
        <v>95.0</v>
      </c>
      <c r="B96" s="37"/>
      <c r="C96" s="37"/>
      <c r="D96" s="37"/>
      <c r="E96" s="37"/>
      <c r="F96" s="37"/>
    </row>
    <row r="97">
      <c r="A97" s="21">
        <v>96.0</v>
      </c>
      <c r="B97" s="37"/>
      <c r="C97" s="37"/>
      <c r="D97" s="37"/>
      <c r="E97" s="37"/>
      <c r="F97" s="37"/>
    </row>
  </sheetData>
  <drawing r:id="rId1"/>
</worksheet>
</file>